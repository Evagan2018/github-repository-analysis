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armh-my.sharepoint.com/personal/evangelos_ganotopoulos_arm_com/Documents/Documents/Development/Codex/Repository_Analysis/"/>
    </mc:Choice>
  </mc:AlternateContent>
  <xr:revisionPtr revIDLastSave="166" documentId="11_12FFAAFDB8DDBCC5F866917C5336CC48F502BF4B" xr6:coauthVersionLast="47" xr6:coauthVersionMax="47" xr10:uidLastSave="{54AD81FB-0B4F-444D-BADE-78BF87C1263E}"/>
  <bookViews>
    <workbookView xWindow="-49605" yWindow="195" windowWidth="45705" windowHeight="20250" xr2:uid="{00000000-000D-0000-FFFF-FFFF00000000}"/>
  </bookViews>
  <sheets>
    <sheet name="open-cmisis-pack_raw_list" sheetId="1" r:id="rId1"/>
    <sheet name="arm-examples_raw_list" sheetId="2" r:id="rId2"/>
    <sheet name="arm-software_raw_list" sheetId="3" r:id="rId3"/>
    <sheet name="mdk-packs_raw_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3" i="2" l="1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78" i="2"/>
  <c r="I77" i="2"/>
  <c r="I76" i="2"/>
  <c r="I75" i="2"/>
  <c r="I74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</calcChain>
</file>

<file path=xl/sharedStrings.xml><?xml version="1.0" encoding="utf-8"?>
<sst xmlns="http://schemas.openxmlformats.org/spreadsheetml/2006/main" count="1382" uniqueCount="353">
  <si>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</si>
  <si>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</si>
  <si>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</si>
  <si>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</si>
  <si>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</si>
  <si>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</si>
  <si>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</si>
  <si>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</si>
  <si>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</si>
  <si>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</si>
  <si>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# Revision History</t>
  </si>
  <si>
    <t># Author</t>
  </si>
  <si>
    <t>OpenAI Codex</t>
  </si>
  <si>
    <t># Date</t>
  </si>
  <si>
    <t>2026-06-26</t>
  </si>
  <si>
    <t># Change</t>
  </si>
  <si>
    <t>Initial repository export generated by Get_Repositories.py v1.0.0</t>
  </si>
  <si>
    <t># File Description</t>
  </si>
  <si>
    <t># Summary</t>
  </si>
  <si>
    <t>Repository data read from a GitHub organization and filtered automatically by visibility, archive status, and activity cutoff.</t>
  </si>
  <si>
    <t># Generation Process</t>
  </si>
  <si>
    <t>Two-stage process: stage 1 automated export by script; stage 2 optional manual filtering if repository-side tags or metadata are missing.</t>
  </si>
  <si>
    <t># Source Script</t>
  </si>
  <si>
    <t>Get_Repositories.py v1.0.0</t>
  </si>
  <si>
    <t># Suggested Workflows</t>
  </si>
  <si>
    <t>Excel review, manual repository qualification, and follow-on automation workflows that consume repository lists.</t>
  </si>
  <si>
    <t># Organization</t>
  </si>
  <si>
    <t>open-cmisis-pack</t>
  </si>
  <si>
    <t># GitHub API Organization</t>
  </si>
  <si>
    <t>Open-CMSIS-Pack</t>
  </si>
  <si>
    <t># Activity Cutoff</t>
  </si>
  <si>
    <t>2024-06-01</t>
  </si>
  <si>
    <t># Field Descriptions</t>
  </si>
  <si>
    <t># repository</t>
  </si>
  <si>
    <t>Repository name in the selected GitHub organization.</t>
  </si>
  <si>
    <t># last_push</t>
  </si>
  <si>
    <t>Timestamp of the latest push reported by GitHub.</t>
  </si>
  <si>
    <t># visibility</t>
  </si>
  <si>
    <t>Normalized repository visibility status after API readout.</t>
  </si>
  <si>
    <t># archived</t>
  </si>
  <si>
    <t>Archive flag returned by GitHub for the repository.</t>
  </si>
  <si>
    <t># unique_visitors_14d</t>
  </si>
  <si>
    <t>Unique repository visitors in the last 14 days.</t>
  </si>
  <si>
    <t># unique_cloners_14d</t>
  </si>
  <si>
    <t>Unique repository cloners in the last 14 days.</t>
  </si>
  <si>
    <t># total_views_14d</t>
  </si>
  <si>
    <t>Total repository page views in the last 14 days.</t>
  </si>
  <si>
    <t># traffic_status</t>
  </si>
  <si>
    <t>Traffic readout result, for example OK or an API access message.</t>
  </si>
  <si>
    <t>repository</t>
  </si>
  <si>
    <t>last_push</t>
  </si>
  <si>
    <t>visibility</t>
  </si>
  <si>
    <t>archived</t>
  </si>
  <si>
    <t>unique_visitors_14d</t>
  </si>
  <si>
    <t>unique_cloners_14d</t>
  </si>
  <si>
    <t>total_views_14d</t>
  </si>
  <si>
    <t>traffic_status</t>
  </si>
  <si>
    <t>link_2_repository</t>
  </si>
  <si>
    <t>ignore_status</t>
  </si>
  <si>
    <t>vscode-cmsis-solution</t>
  </si>
  <si>
    <t>PUBLIC</t>
  </si>
  <si>
    <t>OK</t>
  </si>
  <si>
    <t>vscode-cmsis-debugger</t>
  </si>
  <si>
    <t>RESTRICTED: Must have push access to repository</t>
  </si>
  <si>
    <t>STM32WLxx_DFP</t>
  </si>
  <si>
    <t>devtools</t>
  </si>
  <si>
    <t>vscode-cmsis-sds</t>
  </si>
  <si>
    <t>cbuild2cmake</t>
  </si>
  <si>
    <t>STM32H7xx_DFP</t>
  </si>
  <si>
    <t>cmsis-toolbox</t>
  </si>
  <si>
    <t>vsce-helper</t>
  </si>
  <si>
    <t>gen-pack-action</t>
  </si>
  <si>
    <t>workflows-and-actions-collection</t>
  </si>
  <si>
    <t>csolution-rpc</t>
  </si>
  <si>
    <t>debug-adapter-registry</t>
  </si>
  <si>
    <t>gen-pack</t>
  </si>
  <si>
    <t>vscode-get-started</t>
  </si>
  <si>
    <t>cbuild</t>
  </si>
  <si>
    <t>vidx2pidx</t>
  </si>
  <si>
    <t>cpackget</t>
  </si>
  <si>
    <t>generator-bridge</t>
  </si>
  <si>
    <t>Open-CMSIS-Pack-Spec</t>
  </si>
  <si>
    <t>csolution-examples</t>
  </si>
  <si>
    <t>NXP_IMXRT1050-EVKB_BSP</t>
  </si>
  <si>
    <t>NXP_iMXRT105x_MWP</t>
  </si>
  <si>
    <t>CMSIS-Driver_STM32</t>
  </si>
  <si>
    <t>STM32N6570-DK_BSP</t>
  </si>
  <si>
    <t>STM32N6xx_DFP</t>
  </si>
  <si>
    <t>vscode-extension-workflows</t>
  </si>
  <si>
    <t>NXP_FRDM-MCXN947_BSP</t>
  </si>
  <si>
    <t>svd-spec</t>
  </si>
  <si>
    <t>devtools-build-action</t>
  </si>
  <si>
    <t>.github</t>
  </si>
  <si>
    <t>STM32U0xx_DFP</t>
  </si>
  <si>
    <t>vcpkg-ce-registry</t>
  </si>
  <si>
    <t>landing</t>
  </si>
  <si>
    <t>STM32H5xx_DFP</t>
  </si>
  <si>
    <t>STM32U3xx_DFP</t>
  </si>
  <si>
    <t>STM32WBAxx_DFP</t>
  </si>
  <si>
    <t>STM32WL3x_DFP</t>
  </si>
  <si>
    <t>STM32WBxx_DFP</t>
  </si>
  <si>
    <t>STM32WB0x_DFP</t>
  </si>
  <si>
    <t>STM32U5xx_DFP</t>
  </si>
  <si>
    <t>STM32U575I-EV_BSP</t>
  </si>
  <si>
    <t>STM32L5xx_DFP</t>
  </si>
  <si>
    <t>STM32L562E-DK_BSP</t>
  </si>
  <si>
    <t>STM32L552E-EV_BSP</t>
  </si>
  <si>
    <t>STM32L4xx_DFP</t>
  </si>
  <si>
    <t>STM32L4R9I-EVAL_BSP</t>
  </si>
  <si>
    <t>STM32L4R9I-DISCO_BSP</t>
  </si>
  <si>
    <t>STM32L496G-DISCO_BSP</t>
  </si>
  <si>
    <t>STM32L476G-EVAL_BSP</t>
  </si>
  <si>
    <t>STM32L1xx_DFP</t>
  </si>
  <si>
    <t>STM32L0xx_DFP</t>
  </si>
  <si>
    <t>STM32H7S78-DK_BSP</t>
  </si>
  <si>
    <t>STM32H7RSxx_DFP</t>
  </si>
  <si>
    <t>STM32H7B3I-EVAL_BSP</t>
  </si>
  <si>
    <t>STM32H7B3I-DK_BSP</t>
  </si>
  <si>
    <t>STM32H747I-EVAL_BSP</t>
  </si>
  <si>
    <t>STM32H745I-DISCO_BSP</t>
  </si>
  <si>
    <t>STM32H743I-EVAL_BSP</t>
  </si>
  <si>
    <t>STM32H735G-DK_BSP</t>
  </si>
  <si>
    <t>STM32G4xx_DFP</t>
  </si>
  <si>
    <t>STM32G474E-EVAL1_BSP</t>
  </si>
  <si>
    <t>STM32G0xx_DFP</t>
  </si>
  <si>
    <t>STM32G071B-DISCO_BSP</t>
  </si>
  <si>
    <t>STM32F7xx_DFP</t>
  </si>
  <si>
    <t>STM32F769I-EVAL_BSP</t>
  </si>
  <si>
    <t>STM32F769I-DISCO_BSP</t>
  </si>
  <si>
    <t>STM32F746G-DISCO_BSP</t>
  </si>
  <si>
    <t>STM32F4xx_DFP</t>
  </si>
  <si>
    <t>STM32F469I-DISCO_BSP</t>
  </si>
  <si>
    <t>STM32F429I-DISC1_BSP</t>
  </si>
  <si>
    <t>STM32F407G-DISC1_BSP</t>
  </si>
  <si>
    <t>STM32F3xx_DFP</t>
  </si>
  <si>
    <t>STM32F3DISCOVERY_BSP</t>
  </si>
  <si>
    <t>STM32F3348-DISCO_BSP</t>
  </si>
  <si>
    <t>STM32F2xx_DFP</t>
  </si>
  <si>
    <t>STM32F0xx_DFP</t>
  </si>
  <si>
    <t>STM32F0DISCOVERY_BSP</t>
  </si>
  <si>
    <t>STM32F072B-DISCO_BSP</t>
  </si>
  <si>
    <t>STM32C0xx_DFP</t>
  </si>
  <si>
    <t>STM32C0316-DK_BSP</t>
  </si>
  <si>
    <t>STM32C0116-DK_BSP</t>
  </si>
  <si>
    <t>STM32373C-EVAL_BSP</t>
  </si>
  <si>
    <t>STM32303E-EVAL_BSP</t>
  </si>
  <si>
    <t>ST_NUCLEO-WL55JC_BSP</t>
  </si>
  <si>
    <t>ST_NUCLEO-WB55RG_BSP</t>
  </si>
  <si>
    <t>ST_NUCLEO-L053R8_BSP</t>
  </si>
  <si>
    <t>csolution-templates</t>
  </si>
  <si>
    <t>ST_NUCLEO-L152RE_BSP</t>
  </si>
  <si>
    <t>ST_NUCLEO-F429ZI_BSP</t>
  </si>
  <si>
    <t>Zephyr-Alif</t>
  </si>
  <si>
    <t>ST_NUCLEO-F412ZG_BSP</t>
  </si>
  <si>
    <t>Zephyr-ST</t>
  </si>
  <si>
    <t>ST_NUCLEO-F401RE_BSP</t>
  </si>
  <si>
    <t>ST_NUCLEO-F091RC_BSP</t>
  </si>
  <si>
    <t>ST_NUCLEO-F030R8_BSP</t>
  </si>
  <si>
    <t>ST_NUCLEO-H743ZI2_BSP</t>
  </si>
  <si>
    <t>ST_NUCLEO-F746ZG_BSP</t>
  </si>
  <si>
    <t>ST_NUCLEO-H563ZI_BSP</t>
  </si>
  <si>
    <t>ST_NUCLEO-G474RE_BSP</t>
  </si>
  <si>
    <t>ST_NUCLEO-G0B1RE_BSP</t>
  </si>
  <si>
    <t>ST_NUCLEO-F756ZG_BSP</t>
  </si>
  <si>
    <t>ST_NUCLEO-F446RE_BSP</t>
  </si>
  <si>
    <t>ST_NUCLEO-F072RB_BSP</t>
  </si>
  <si>
    <t>ST_B-U585I-IOT02A_BSP</t>
  </si>
  <si>
    <t>ST_B-L475E-IOT01A_BSP</t>
  </si>
  <si>
    <t>ST_B-L462E-CELL1_BSP</t>
  </si>
  <si>
    <t>Sensor-SDK-Example</t>
  </si>
  <si>
    <t>lwIP</t>
  </si>
  <si>
    <t>BSP-Pack-HandsOn</t>
  </si>
  <si>
    <t>GSP-Pack-HandsOn</t>
  </si>
  <si>
    <t>DFP-Pack-HandsOn</t>
  </si>
  <si>
    <t>ST_NUCLEO-L552ZE-Q_BSP</t>
  </si>
  <si>
    <t>STM32L0538-DISCO_BSP</t>
  </si>
  <si>
    <t>STM32L073Z-EVAL_BSP</t>
  </si>
  <si>
    <t>ST_NUCLEO-L476RG_BSP</t>
  </si>
  <si>
    <t>RefApp-Framework</t>
  </si>
  <si>
    <t>Open-CMSIS-Pack-Taxonomy</t>
  </si>
  <si>
    <t>Create-Scalable-SW</t>
  </si>
  <si>
    <t>arm-examples</t>
  </si>
  <si>
    <t>topo-lightbulb-moment</t>
  </si>
  <si>
    <t>topo-llama-web-ui</t>
  </si>
  <si>
    <t>topo-simd-visual-benchmark</t>
  </si>
  <si>
    <t>ModelNova</t>
  </si>
  <si>
    <t>topo-imx93-ethos-u65-image-classifier</t>
  </si>
  <si>
    <t>Real-Time-Voice-Assistant</t>
  </si>
  <si>
    <t>SDS-Examples</t>
  </si>
  <si>
    <t>LLM-Runner</t>
  </si>
  <si>
    <t>AVH_CI_Template</t>
  </si>
  <si>
    <t>topo-welcome</t>
  </si>
  <si>
    <t>CMSIS-Zephyr</t>
  </si>
  <si>
    <t>Numerics</t>
  </si>
  <si>
    <t>FVPs-on-Mac</t>
  </si>
  <si>
    <t>executorch-grid-sample-export</t>
  </si>
  <si>
    <t>STM32_LiveUpdate</t>
  </si>
  <si>
    <t>cmsis-mlek</t>
  </si>
  <si>
    <t>Hello_B-U585I-IOT02A</t>
  </si>
  <si>
    <t>ML-examples</t>
  </si>
  <si>
    <t>mlek-cmsis-pack-examples</t>
  </si>
  <si>
    <t>Hello_NUCLEO-G474RE</t>
  </si>
  <si>
    <t>Hello_NUCLEO-F756ZG</t>
  </si>
  <si>
    <t>Hello_MIMXRT1064-EVK</t>
  </si>
  <si>
    <t>Hello_MIMXRT1060-EVKB</t>
  </si>
  <si>
    <t>Hello_LPCXpresso55S69</t>
  </si>
  <si>
    <t>Hello_IMXRT1050-EVKB</t>
  </si>
  <si>
    <t>Hello_FRDM-K32L3A6</t>
  </si>
  <si>
    <t>CMSIS-Stream_SDS_Demo</t>
  </si>
  <si>
    <t>Blinky_FRDM-K32L3A6</t>
  </si>
  <si>
    <t>Blinky_AVH_uV</t>
  </si>
  <si>
    <t>AVH-VSI</t>
  </si>
  <si>
    <t>AWS_MQTT_Demo</t>
  </si>
  <si>
    <t>CMSIS-Zephyr-Executorch</t>
  </si>
  <si>
    <t>STT-Runner</t>
  </si>
  <si>
    <t>Hello_Codespaces</t>
  </si>
  <si>
    <t>Safety-Example-Infineon-T2G</t>
  </si>
  <si>
    <t>Safety-Example-STM32</t>
  </si>
  <si>
    <t>CMSIS-Executorch</t>
  </si>
  <si>
    <t>AVH-Hello</t>
  </si>
  <si>
    <t>cmsis-mlek-examples</t>
  </si>
  <si>
    <t>Middleware_USB_FS</t>
  </si>
  <si>
    <t>CMSIS-Linux</t>
  </si>
  <si>
    <t>Hello_World</t>
  </si>
  <si>
    <t>verify-cmsis-example-action</t>
  </si>
  <si>
    <t>publish-cmsis-example</t>
  </si>
  <si>
    <t>Get-Started-with-Edge-AI</t>
  </si>
  <si>
    <t>Paddle-on-Ethos-U</t>
  </si>
  <si>
    <t>Arm-Ethos-Zephyr-Playground</t>
  </si>
  <si>
    <t>Blinky_Ensemble_E8</t>
  </si>
  <si>
    <t>Helium-Optimization</t>
  </si>
  <si>
    <t>VSI_video</t>
  </si>
  <si>
    <t>cloud_ci_demo_rv2</t>
  </si>
  <si>
    <t>cloud_ci_demo_basic</t>
  </si>
  <si>
    <t>arm-software</t>
  </si>
  <si>
    <t>AVH</t>
  </si>
  <si>
    <t>lavatube</t>
  </si>
  <si>
    <t>sysarch-acs</t>
  </si>
  <si>
    <t>armnn</t>
  </si>
  <si>
    <t>gfxreconstruct-arm</t>
  </si>
  <si>
    <t>CMSIS-NN</t>
  </si>
  <si>
    <t>spirv-simulator</t>
  </si>
  <si>
    <t>ComputeLibrary</t>
  </si>
  <si>
    <t>lisa</t>
  </si>
  <si>
    <t>arm-systemready</t>
  </si>
  <si>
    <t>VectorSimilarity-for-Arm</t>
  </si>
  <si>
    <t>kleidiai</t>
  </si>
  <si>
    <t>golang-utils</t>
  </si>
  <si>
    <t>sbmr-acs</t>
  </si>
  <si>
    <t>psa-api</t>
  </si>
  <si>
    <t>tracetooltests</t>
  </si>
  <si>
    <t>bob-build</t>
  </si>
  <si>
    <t>libcollector</t>
  </si>
  <si>
    <t>rme-sysarch-acs</t>
  </si>
  <si>
    <t>MDK-Middleware</t>
  </si>
  <si>
    <t>acle</t>
  </si>
  <si>
    <t>CMSIS-DAP</t>
  </si>
  <si>
    <t>arm-trusted-firmware</t>
  </si>
  <si>
    <t>CMSIS_6</t>
  </si>
  <si>
    <t>Arm-2D</t>
  </si>
  <si>
    <t>CMSIS-FreeRTOS</t>
  </si>
  <si>
    <t>astc-encoder</t>
  </si>
  <si>
    <t>CMSIS-RTOS2_Validation</t>
  </si>
  <si>
    <t>Tool-Solutions</t>
  </si>
  <si>
    <t>SDS-Framework</t>
  </si>
  <si>
    <t>cmsis-actions</t>
  </si>
  <si>
    <t>CMSIS-Driver</t>
  </si>
  <si>
    <t>CMSIS-Driver_Validation</t>
  </si>
  <si>
    <t>CMSIS-Compiler</t>
  </si>
  <si>
    <t>Cortex_DFP</t>
  </si>
  <si>
    <t>CMSIS-DSP</t>
  </si>
  <si>
    <t>CMSIS-RTX</t>
  </si>
  <si>
    <t>embedded-development-services-client-utils</t>
  </si>
  <si>
    <t>optimized-routines</t>
  </si>
  <si>
    <t>bbr-acs</t>
  </si>
  <si>
    <t>zipcontainer</t>
  </si>
  <si>
    <t>labgrid</t>
  </si>
  <si>
    <t>embedded-development-services-client</t>
  </si>
  <si>
    <t>adac-rs</t>
  </si>
  <si>
    <t>tarmac-trace-utilities</t>
  </si>
  <si>
    <t>CMSIS-Stream</t>
  </si>
  <si>
    <t>EndpointAI</t>
  </si>
  <si>
    <t>traceui</t>
  </si>
  <si>
    <t>ebbr</t>
  </si>
  <si>
    <t>CSAL</t>
  </si>
  <si>
    <t>progress64</t>
  </si>
  <si>
    <t>edge-iot-arch-guide</t>
  </si>
  <si>
    <t>ACI-GetStarted</t>
  </si>
  <si>
    <t>libGPUCounters</t>
  </si>
  <si>
    <t>ff-a-acs</t>
  </si>
  <si>
    <t>abi-aa</t>
  </si>
  <si>
    <t>data</t>
  </si>
  <si>
    <t>cca-rmm-acs</t>
  </si>
  <si>
    <t>libGPULayers</t>
  </si>
  <si>
    <t>libGPUInfo</t>
  </si>
  <si>
    <t>Vulkan-Samples</t>
  </si>
  <si>
    <t>CMSIS-CV</t>
  </si>
  <si>
    <t>vscode-device-manager</t>
  </si>
  <si>
    <t>psa-arch-tests</t>
  </si>
  <si>
    <t>vscode-embedded-debug</t>
  </si>
  <si>
    <t>vscode-arm-debugger</t>
  </si>
  <si>
    <t>gator</t>
  </si>
  <si>
    <t>AVH-MLOps</t>
  </si>
  <si>
    <t>vscode-environment-manager</t>
  </si>
  <si>
    <t>mango</t>
  </si>
  <si>
    <t>CMSIS-View</t>
  </si>
  <si>
    <t>mram_simulation_framework</t>
  </si>
  <si>
    <t>CMSIS-Zone</t>
  </si>
  <si>
    <t>vscode-keil-studio-pack</t>
  </si>
  <si>
    <t>CMSIS-mbedTLS</t>
  </si>
  <si>
    <t>psa-acs-common-val</t>
  </si>
  <si>
    <t>PAF</t>
  </si>
  <si>
    <t>arm-performance-studio-integration-for-godot</t>
  </si>
  <si>
    <t>vktrace-arm</t>
  </si>
  <si>
    <t>r-profile-user-guide-examples</t>
  </si>
  <si>
    <t>patrace</t>
  </si>
  <si>
    <t>synchronization-benchmarks</t>
  </si>
  <si>
    <t>coresight-wire-protocol</t>
  </si>
  <si>
    <t>infra-microbenchmarks</t>
  </si>
  <si>
    <t>cmsis-pack-eclipse</t>
  </si>
  <si>
    <t>AArch64cryptolib</t>
  </si>
  <si>
    <t>LLVM-embedded-toolchain-for-Arm</t>
  </si>
  <si>
    <t>ethos-n-driver-stack</t>
  </si>
  <si>
    <t>secure-debug-manager</t>
  </si>
  <si>
    <t>android-nn-driver</t>
  </si>
  <si>
    <t>MDK-Toolbox</t>
  </si>
  <si>
    <t>m-profile-user-guide-examples</t>
  </si>
  <si>
    <t>vscode-virtual-hardware</t>
  </si>
  <si>
    <t>vscode-remote-build</t>
  </si>
  <si>
    <t>avhclient</t>
  </si>
  <si>
    <t>PMUv3_plugin</t>
  </si>
  <si>
    <t>llram-kernel-driver-for-Cortex-R</t>
  </si>
  <si>
    <t>opengl-es-sdk-for-android</t>
  </si>
  <si>
    <t>libGPUMan</t>
  </si>
  <si>
    <t>vulkan_best_practice_for_mobile_developers</t>
  </si>
  <si>
    <t>Streamline</t>
  </si>
  <si>
    <t>mdk-packs</t>
  </si>
  <si>
    <t>IoT_Socket</t>
  </si>
  <si>
    <t>tensorflow-pack</t>
  </si>
  <si>
    <t>Pack</t>
  </si>
  <si>
    <t>MIMXRT1064-EVK_BSP</t>
  </si>
  <si>
    <t>vscode-cmsis-solution-docs</t>
  </si>
  <si>
    <t>Documentation</t>
  </si>
  <si>
    <t>TinyCBOR</t>
  </si>
  <si>
    <t>Keil_Studio_FAE_Training</t>
  </si>
  <si>
    <t>QCA400x_Host_Driver_SDK</t>
  </si>
  <si>
    <t>iENBL-DK_BSP</t>
  </si>
  <si>
    <t>LPCXpresso55S69_BSP</t>
  </si>
  <si>
    <t>vscode-cmsis-debug-extension-docs</t>
  </si>
  <si>
    <t>IMXRT1050-EVKB_BSP</t>
  </si>
  <si>
    <t>USE</t>
  </si>
  <si>
    <t>IGNORE</t>
  </si>
  <si>
    <t>UNCLEAR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</si>
</sst>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&quot;T&quot;hh:mm:ss&quot;Z&quot;"/>
  </numFmts>
  <fonts count="2" x14ac:knownFonts="1">
    <font>
      <sz val="11"/>
      <color theme="1"/>
      <name val="Calibri"/>
      <family val="2"/>
      <scheme val="minor"/>
    </font>
    <font>
      <u/>
      <sz val="11"/>
      <color rgb="FF0563C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70AD47"/>
      </patternFill>
    </fill>
    <fill>
      <patternFill patternType="solid">
        <fgColor rgb="FFE2F0D9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164" fontId="0" fillId="0" borderId="0" xfId="0" applyNumberFormat="1"/>
    <xf numFmtId="1" fontId="0" fillId="0" borderId="0" xfId="0" applyNumberFormat="1"/>
    <xf numFmtId="0" fontId="1" fillId="0" borderId="0" xfId="0" applyFont="1"/>
    <xf numFmtId="164" fontId="0" fillId="3" borderId="0" xfId="0" applyNumberFormat="1" applyFill="1"/>
    <xf numFmtId="1" fontId="0" fillId="3" borderId="0" xfId="0" applyNumberForma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pen_cmisis_pack_raw_list" displayName="open_cmisis_pack_raw_list" ref="A1:J145">
  <autoFilter ref="A1:J145" xr:uid="{00000000-0009-0000-0100-000001000000}"/>
  <tableColumns count="10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</tableColumns>
  <tableStyleInfo name="TableStyleMedium7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rm_examples_raw_list" displayName="arm_examples_raw_list" ref="A1:J78">
  <autoFilter ref="A1:J78" xr:uid="{00000000-0009-0000-0100-000002000000}"/>
  <tableColumns count="10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</tableColumns>
  <tableStyleInfo name="TableStyleMedium7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rm_software_raw_list" displayName="arm_software_raw_list" ref="A1:J128">
  <autoFilter ref="A1:J128" xr:uid="{00000000-0009-0000-0100-000003000000}"/>
  <tableColumns count="10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  <tableColumn id="7" xr3:uid="{00000000-0010-0000-0200-000007000000}" name="Column7"/>
    <tableColumn id="8" xr3:uid="{00000000-0010-0000-0200-000008000000}" name="Column8"/>
    <tableColumn id="9" xr3:uid="{00000000-0010-0000-0200-000009000000}" name="Column9"/>
    <tableColumn id="10" xr3:uid="{00000000-0010-0000-0200-00000A000000}" name="Column10"/>
  </tableColumns>
  <tableStyleInfo name="TableStyleMedium7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mdk_packs_raw_list" displayName="mdk_packs_raw_list" ref="A1:J38">
  <autoFilter ref="A1:J38" xr:uid="{00000000-0009-0000-0100-000004000000}"/>
  <tableColumns count="10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  <tableColumn id="6" xr3:uid="{00000000-0010-0000-0300-000006000000}" name="Column6"/>
    <tableColumn id="7" xr3:uid="{00000000-0010-0000-0300-000007000000}" name="Column7"/>
    <tableColumn id="8" xr3:uid="{00000000-0010-0000-0300-000008000000}" name="Column8"/>
    <tableColumn id="9" xr3:uid="{00000000-0010-0000-0300-000009000000}" name="Column9"/>
    <tableColumn id="10" xr3:uid="{00000000-0010-0000-0300-00000A000000}" name="Column10"/>
  </tableColumns>
  <tableStyleInfo name="TableStyleMedium7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5"/>
  <sheetViews>
    <sheetView tabSelected="1" zoomScaleNormal="100" workbookViewId="0">
      <selection activeCell="A14" sqref="A14"/>
    </sheetView>
  </sheetViews>
  <sheetFormatPr defaultRowHeight="15" x14ac:dyDescent="0.25"/>
  <cols>
    <col min="1" max="1" width="40" customWidth="1"/>
    <col min="2" max="2" width="120" customWidth="1"/>
    <col min="3" max="4" width="13" customWidth="1"/>
    <col min="5" max="6" width="21" customWidth="1"/>
    <col min="7" max="7" width="18" customWidth="1"/>
    <col min="8" max="8" width="50" customWidth="1"/>
    <col min="9" max="9" width="60" customWidth="1"/>
    <col min="10" max="10" width="2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25">
      <c r="A3" t="s">
        <v>11</v>
      </c>
      <c r="B3" t="s">
        <v>12</v>
      </c>
    </row>
    <row r="4" spans="1:10" x14ac:dyDescent="0.25">
      <c r="A4" s="2" t="s">
        <v>13</v>
      </c>
      <c r="B4" s="2" t="s">
        <v>14</v>
      </c>
      <c r="C4" s="2"/>
      <c r="D4" s="2"/>
      <c r="E4" s="2"/>
      <c r="F4" s="2"/>
      <c r="G4" s="2"/>
      <c r="H4" s="2"/>
      <c r="I4" s="2"/>
      <c r="J4" s="2"/>
    </row>
    <row r="5" spans="1:10" x14ac:dyDescent="0.25">
      <c r="A5" t="s">
        <v>15</v>
      </c>
      <c r="B5" t="s">
        <v>16</v>
      </c>
    </row>
    <row r="6" spans="1:10" x14ac:dyDescent="0.25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x14ac:dyDescent="0.25">
      <c r="A7" t="s">
        <v>17</v>
      </c>
    </row>
    <row r="8" spans="1:10" x14ac:dyDescent="0.25">
      <c r="A8" s="2" t="s">
        <v>18</v>
      </c>
      <c r="B8" s="2" t="s">
        <v>19</v>
      </c>
      <c r="C8" s="2"/>
      <c r="D8" s="2"/>
      <c r="E8" s="2"/>
      <c r="F8" s="2"/>
      <c r="G8" s="2"/>
      <c r="H8" s="2"/>
      <c r="I8" s="2"/>
      <c r="J8" s="2"/>
    </row>
    <row r="9" spans="1:10" x14ac:dyDescent="0.25">
      <c r="A9" t="s">
        <v>20</v>
      </c>
      <c r="B9" t="s">
        <v>21</v>
      </c>
    </row>
    <row r="10" spans="1:10" x14ac:dyDescent="0.25">
      <c r="A10" s="2" t="s">
        <v>22</v>
      </c>
      <c r="B10" s="2" t="s">
        <v>23</v>
      </c>
      <c r="C10" s="2"/>
      <c r="D10" s="2"/>
      <c r="E10" s="2"/>
      <c r="F10" s="2"/>
      <c r="G10" s="2"/>
      <c r="H10" s="2"/>
      <c r="I10" s="2"/>
      <c r="J10" s="2"/>
    </row>
    <row r="11" spans="1:10" x14ac:dyDescent="0.25">
      <c r="A11" t="s">
        <v>24</v>
      </c>
      <c r="B11" t="s">
        <v>25</v>
      </c>
    </row>
    <row r="12" spans="1:10" x14ac:dyDescent="0.25">
      <c r="A12" s="2" t="s">
        <v>26</v>
      </c>
      <c r="B12" s="2" t="s">
        <v>27</v>
      </c>
      <c r="C12" s="2"/>
      <c r="D12" s="2"/>
      <c r="E12" s="2"/>
      <c r="F12" s="2"/>
      <c r="G12" s="2"/>
      <c r="H12" s="2"/>
      <c r="I12" s="2"/>
      <c r="J12" s="2"/>
    </row>
    <row r="13" spans="1:10" x14ac:dyDescent="0.25">
      <c r="A13" t="s">
        <v>28</v>
      </c>
      <c r="B13" t="s">
        <v>29</v>
      </c>
    </row>
    <row r="14" spans="1:10" x14ac:dyDescent="0.25">
      <c r="A14" s="2" t="s">
        <v>30</v>
      </c>
      <c r="B14" s="2" t="s">
        <v>31</v>
      </c>
      <c r="C14" s="2"/>
      <c r="D14" s="2"/>
      <c r="E14" s="2"/>
      <c r="F14" s="2"/>
      <c r="G14" s="2"/>
      <c r="H14" s="2"/>
      <c r="I14" s="2"/>
      <c r="J14" s="2"/>
    </row>
    <row r="16" spans="1:10" x14ac:dyDescent="0.25">
      <c r="A16" s="2" t="s">
        <v>32</v>
      </c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25">
      <c r="A17" t="s">
        <v>33</v>
      </c>
      <c r="B17" t="s">
        <v>34</v>
      </c>
    </row>
    <row r="18" spans="1:10" x14ac:dyDescent="0.25">
      <c r="A18" s="2" t="s">
        <v>35</v>
      </c>
      <c r="B18" s="2" t="s">
        <v>36</v>
      </c>
      <c r="C18" s="2"/>
      <c r="D18" s="2"/>
      <c r="E18" s="2"/>
      <c r="F18" s="2"/>
      <c r="G18" s="2"/>
      <c r="H18" s="2"/>
      <c r="I18" s="2"/>
      <c r="J18" s="2"/>
    </row>
    <row r="19" spans="1:10" x14ac:dyDescent="0.25">
      <c r="A19" t="s">
        <v>37</v>
      </c>
      <c r="B19" t="s">
        <v>38</v>
      </c>
    </row>
    <row r="20" spans="1:10" x14ac:dyDescent="0.25">
      <c r="A20" s="2" t="s">
        <v>39</v>
      </c>
      <c r="B20" s="2" t="s">
        <v>40</v>
      </c>
      <c r="C20" s="2"/>
      <c r="D20" s="2"/>
      <c r="E20" s="2"/>
      <c r="F20" s="2"/>
      <c r="G20" s="2"/>
      <c r="H20" s="2"/>
      <c r="I20" s="2"/>
      <c r="J20" s="2"/>
    </row>
    <row r="21" spans="1:10" x14ac:dyDescent="0.25">
      <c r="A21" t="s">
        <v>41</v>
      </c>
      <c r="B21" t="s">
        <v>42</v>
      </c>
    </row>
    <row r="22" spans="1:10" x14ac:dyDescent="0.25">
      <c r="A22" s="2" t="s">
        <v>43</v>
      </c>
      <c r="B22" s="2" t="s">
        <v>44</v>
      </c>
      <c r="C22" s="2"/>
      <c r="D22" s="2"/>
      <c r="E22" s="2"/>
      <c r="F22" s="2"/>
      <c r="G22" s="2"/>
      <c r="H22" s="2"/>
      <c r="I22" s="2"/>
      <c r="J22" s="2"/>
    </row>
    <row r="23" spans="1:10" x14ac:dyDescent="0.25">
      <c r="A23" t="s">
        <v>45</v>
      </c>
      <c r="B23" t="s">
        <v>46</v>
      </c>
    </row>
    <row r="24" spans="1:10" x14ac:dyDescent="0.25">
      <c r="A24" s="2" t="s">
        <v>47</v>
      </c>
      <c r="B24" s="2" t="s">
        <v>48</v>
      </c>
      <c r="C24" s="2"/>
      <c r="D24" s="2"/>
      <c r="E24" s="2"/>
      <c r="F24" s="2"/>
      <c r="G24" s="2"/>
      <c r="H24" s="2"/>
      <c r="I24" s="2"/>
      <c r="J24" s="2"/>
    </row>
    <row r="26" spans="1:10" x14ac:dyDescent="0.25">
      <c r="A26" s="2" t="s">
        <v>49</v>
      </c>
      <c r="B26" s="2" t="s">
        <v>50</v>
      </c>
      <c r="C26" s="2" t="s">
        <v>51</v>
      </c>
      <c r="D26" s="2" t="s">
        <v>52</v>
      </c>
      <c r="E26" s="2" t="s">
        <v>53</v>
      </c>
      <c r="F26" s="2" t="s">
        <v>54</v>
      </c>
      <c r="G26" s="2" t="s">
        <v>55</v>
      </c>
      <c r="H26" s="2" t="s">
        <v>56</v>
      </c>
      <c r="I26" s="2" t="s">
        <v>57</v>
      </c>
      <c r="J26" s="2" t="s">
        <v>58</v>
      </c>
    </row>
    <row r="27" spans="1:10" x14ac:dyDescent="0.25">
      <c r="A27" t="s">
        <v>59</v>
      </c>
      <c r="B27" s="3">
        <v>46199.404456018521</v>
      </c>
      <c r="C27" t="s">
        <v>60</v>
      </c>
      <c r="D27" t="b">
        <v>0</v>
      </c>
      <c r="E27" s="4">
        <v>62</v>
      </c>
      <c r="F27" s="4">
        <v>471</v>
      </c>
      <c r="G27" s="4">
        <v>1704</v>
      </c>
      <c r="H27" t="s">
        <v>61</v>
      </c>
      <c r="I27" s="5" t="str">
        <f t="shared" ref="I27:I58" si="0">HYPERLINK("https://github.com/" &amp; "open-cmsis-pack" &amp; "/" &amp; A27, A27)</f>
        <v>vscode-cmsis-solution</v>
      </c>
      <c r="J27" t="s">
        <v>350</v>
      </c>
    </row>
    <row r="28" spans="1:10" x14ac:dyDescent="0.25">
      <c r="A28" s="2" t="s">
        <v>62</v>
      </c>
      <c r="B28" s="6">
        <v>46199.402268518519</v>
      </c>
      <c r="C28" s="2" t="s">
        <v>60</v>
      </c>
      <c r="D28" s="2" t="b">
        <v>0</v>
      </c>
      <c r="E28" s="7"/>
      <c r="F28" s="7"/>
      <c r="G28" s="7"/>
      <c r="H28" s="2" t="s">
        <v>63</v>
      </c>
      <c r="I28" s="8" t="str">
        <f t="shared" si="0"/>
        <v>vscode-cmsis-debugger</v>
      </c>
      <c r="J28" s="2" t="s">
        <v>352</v>
      </c>
    </row>
    <row r="29" spans="1:10" x14ac:dyDescent="0.25">
      <c r="A29" t="s">
        <v>64</v>
      </c>
      <c r="B29" s="3">
        <v>46199.376550925917</v>
      </c>
      <c r="C29" t="s">
        <v>60</v>
      </c>
      <c r="D29" t="b">
        <v>0</v>
      </c>
      <c r="E29" s="4">
        <v>12</v>
      </c>
      <c r="F29" s="4">
        <v>60</v>
      </c>
      <c r="G29" s="4">
        <v>29</v>
      </c>
      <c r="H29" t="s">
        <v>61</v>
      </c>
      <c r="I29" s="5" t="str">
        <f t="shared" si="0"/>
        <v>STM32WLxx_DFP</v>
      </c>
      <c r="J29" t="s">
        <v>350</v>
      </c>
    </row>
    <row r="30" spans="1:10" x14ac:dyDescent="0.25">
      <c r="A30" s="2" t="s">
        <v>65</v>
      </c>
      <c r="B30" s="6">
        <v>46199.35769675926</v>
      </c>
      <c r="C30" s="2" t="s">
        <v>60</v>
      </c>
      <c r="D30" s="2" t="b">
        <v>0</v>
      </c>
      <c r="E30" s="7">
        <v>122</v>
      </c>
      <c r="F30" s="7">
        <v>464</v>
      </c>
      <c r="G30" s="7">
        <v>698</v>
      </c>
      <c r="H30" s="2" t="s">
        <v>61</v>
      </c>
      <c r="I30" s="8" t="str">
        <f t="shared" si="0"/>
        <v>devtools</v>
      </c>
      <c r="J30" s="2" t="s">
        <v>350</v>
      </c>
    </row>
    <row r="31" spans="1:10" x14ac:dyDescent="0.25">
      <c r="A31" t="s">
        <v>66</v>
      </c>
      <c r="B31" s="3">
        <v>46199.31144675926</v>
      </c>
      <c r="C31" t="s">
        <v>60</v>
      </c>
      <c r="D31" t="b">
        <v>0</v>
      </c>
      <c r="E31" s="4">
        <v>15</v>
      </c>
      <c r="F31" s="4">
        <v>338</v>
      </c>
      <c r="G31" s="4">
        <v>854</v>
      </c>
      <c r="H31" t="s">
        <v>61</v>
      </c>
      <c r="I31" s="5" t="str">
        <f t="shared" si="0"/>
        <v>vscode-cmsis-sds</v>
      </c>
      <c r="J31" t="s">
        <v>350</v>
      </c>
    </row>
    <row r="32" spans="1:10" x14ac:dyDescent="0.25">
      <c r="A32" s="2" t="s">
        <v>67</v>
      </c>
      <c r="B32" s="6">
        <v>46198.397222222222</v>
      </c>
      <c r="C32" s="2" t="s">
        <v>60</v>
      </c>
      <c r="D32" s="2" t="b">
        <v>0</v>
      </c>
      <c r="E32" s="7">
        <v>33</v>
      </c>
      <c r="F32" s="7">
        <v>122</v>
      </c>
      <c r="G32" s="7">
        <v>86</v>
      </c>
      <c r="H32" s="2" t="s">
        <v>61</v>
      </c>
      <c r="I32" s="8" t="str">
        <f t="shared" si="0"/>
        <v>cbuild2cmake</v>
      </c>
      <c r="J32" s="2" t="s">
        <v>350</v>
      </c>
    </row>
    <row r="33" spans="1:10" x14ac:dyDescent="0.25">
      <c r="A33" t="s">
        <v>68</v>
      </c>
      <c r="B33" s="3">
        <v>46197.666458333333</v>
      </c>
      <c r="C33" t="s">
        <v>60</v>
      </c>
      <c r="D33" t="b">
        <v>0</v>
      </c>
      <c r="E33" s="4">
        <v>137</v>
      </c>
      <c r="F33" s="4">
        <v>80</v>
      </c>
      <c r="G33" s="4">
        <v>313</v>
      </c>
      <c r="H33" t="s">
        <v>61</v>
      </c>
      <c r="I33" s="5" t="str">
        <f t="shared" si="0"/>
        <v>STM32H7xx_DFP</v>
      </c>
      <c r="J33" t="s">
        <v>350</v>
      </c>
    </row>
    <row r="34" spans="1:10" x14ac:dyDescent="0.25">
      <c r="A34" s="2" t="s">
        <v>69</v>
      </c>
      <c r="B34" s="6">
        <v>46197.493460648147</v>
      </c>
      <c r="C34" s="2" t="s">
        <v>60</v>
      </c>
      <c r="D34" s="2" t="b">
        <v>0</v>
      </c>
      <c r="E34" s="7">
        <v>335</v>
      </c>
      <c r="F34" s="7">
        <v>232</v>
      </c>
      <c r="G34" s="7">
        <v>990</v>
      </c>
      <c r="H34" s="2" t="s">
        <v>61</v>
      </c>
      <c r="I34" s="8" t="str">
        <f t="shared" si="0"/>
        <v>cmsis-toolbox</v>
      </c>
      <c r="J34" s="2" t="s">
        <v>350</v>
      </c>
    </row>
    <row r="35" spans="1:10" x14ac:dyDescent="0.25">
      <c r="A35" t="s">
        <v>70</v>
      </c>
      <c r="B35" s="3">
        <v>46196.120312500003</v>
      </c>
      <c r="C35" t="s">
        <v>60</v>
      </c>
      <c r="D35" t="b">
        <v>0</v>
      </c>
      <c r="E35" s="4"/>
      <c r="F35" s="4"/>
      <c r="G35" s="4"/>
      <c r="H35" t="s">
        <v>63</v>
      </c>
      <c r="I35" s="5" t="str">
        <f t="shared" si="0"/>
        <v>vsce-helper</v>
      </c>
      <c r="J35" t="s">
        <v>352</v>
      </c>
    </row>
    <row r="36" spans="1:10" x14ac:dyDescent="0.25">
      <c r="A36" s="2" t="s">
        <v>71</v>
      </c>
      <c r="B36" s="6">
        <v>46195.696527777778</v>
      </c>
      <c r="C36" s="2" t="s">
        <v>60</v>
      </c>
      <c r="D36" s="2" t="b">
        <v>0</v>
      </c>
      <c r="E36" s="7"/>
      <c r="F36" s="7"/>
      <c r="G36" s="7"/>
      <c r="H36" s="2" t="s">
        <v>63</v>
      </c>
      <c r="I36" s="8" t="str">
        <f t="shared" si="0"/>
        <v>gen-pack-action</v>
      </c>
      <c r="J36" s="2" t="s">
        <v>351</v>
      </c>
    </row>
    <row r="37" spans="1:10" x14ac:dyDescent="0.25">
      <c r="A37" t="s">
        <v>72</v>
      </c>
      <c r="B37" s="3">
        <v>46195.593506944453</v>
      </c>
      <c r="C37" t="s">
        <v>60</v>
      </c>
      <c r="D37" t="b">
        <v>0</v>
      </c>
      <c r="E37" s="4"/>
      <c r="F37" s="4"/>
      <c r="G37" s="4"/>
      <c r="H37" t="s">
        <v>63</v>
      </c>
      <c r="I37" s="5" t="str">
        <f t="shared" si="0"/>
        <v>workflows-and-actions-collection</v>
      </c>
      <c r="J37" t="s">
        <v>351</v>
      </c>
    </row>
    <row r="38" spans="1:10" x14ac:dyDescent="0.25">
      <c r="A38" s="2" t="s">
        <v>73</v>
      </c>
      <c r="B38" s="6">
        <v>46195.467847222222</v>
      </c>
      <c r="C38" s="2" t="s">
        <v>60</v>
      </c>
      <c r="D38" s="2" t="b">
        <v>0</v>
      </c>
      <c r="E38" s="7">
        <v>5</v>
      </c>
      <c r="F38" s="7">
        <v>41</v>
      </c>
      <c r="G38" s="7">
        <v>10</v>
      </c>
      <c r="H38" s="2" t="s">
        <v>61</v>
      </c>
      <c r="I38" s="8" t="str">
        <f t="shared" si="0"/>
        <v>csolution-rpc</v>
      </c>
      <c r="J38" s="2" t="s">
        <v>350</v>
      </c>
    </row>
    <row r="39" spans="1:10" x14ac:dyDescent="0.25">
      <c r="A39" t="s">
        <v>74</v>
      </c>
      <c r="B39" s="3">
        <v>46195.447094907409</v>
      </c>
      <c r="C39" t="s">
        <v>60</v>
      </c>
      <c r="D39" t="b">
        <v>0</v>
      </c>
      <c r="E39" s="4">
        <v>4</v>
      </c>
      <c r="F39" s="4">
        <v>50</v>
      </c>
      <c r="G39" s="4">
        <v>13</v>
      </c>
      <c r="H39" t="s">
        <v>61</v>
      </c>
      <c r="I39" s="5" t="str">
        <f t="shared" si="0"/>
        <v>debug-adapter-registry</v>
      </c>
      <c r="J39" t="s">
        <v>350</v>
      </c>
    </row>
    <row r="40" spans="1:10" x14ac:dyDescent="0.25">
      <c r="A40" s="2" t="s">
        <v>75</v>
      </c>
      <c r="B40" s="6">
        <v>46195.203252314823</v>
      </c>
      <c r="C40" s="2" t="s">
        <v>60</v>
      </c>
      <c r="D40" s="2" t="b">
        <v>0</v>
      </c>
      <c r="E40" s="7"/>
      <c r="F40" s="7"/>
      <c r="G40" s="7"/>
      <c r="H40" s="2" t="s">
        <v>63</v>
      </c>
      <c r="I40" s="8" t="str">
        <f t="shared" si="0"/>
        <v>gen-pack</v>
      </c>
      <c r="J40" s="2" t="s">
        <v>352</v>
      </c>
    </row>
    <row r="41" spans="1:10" x14ac:dyDescent="0.25">
      <c r="A41" t="s">
        <v>76</v>
      </c>
      <c r="B41" s="3">
        <v>46195.002962962957</v>
      </c>
      <c r="C41" t="s">
        <v>60</v>
      </c>
      <c r="D41" t="b">
        <v>0</v>
      </c>
      <c r="E41" s="4"/>
      <c r="F41" s="4"/>
      <c r="G41" s="4"/>
      <c r="H41" t="s">
        <v>63</v>
      </c>
      <c r="I41" s="5" t="str">
        <f t="shared" si="0"/>
        <v>vscode-get-started</v>
      </c>
      <c r="J41" t="s">
        <v>352</v>
      </c>
    </row>
    <row r="42" spans="1:10" x14ac:dyDescent="0.25">
      <c r="A42" s="2" t="s">
        <v>77</v>
      </c>
      <c r="B42" s="6">
        <v>46194.807291666657</v>
      </c>
      <c r="C42" s="2" t="s">
        <v>60</v>
      </c>
      <c r="D42" s="2" t="b">
        <v>0</v>
      </c>
      <c r="E42" s="7">
        <v>38</v>
      </c>
      <c r="F42" s="7">
        <v>191</v>
      </c>
      <c r="G42" s="7">
        <v>59</v>
      </c>
      <c r="H42" s="2" t="s">
        <v>61</v>
      </c>
      <c r="I42" s="8" t="str">
        <f t="shared" si="0"/>
        <v>cbuild</v>
      </c>
      <c r="J42" s="2" t="s">
        <v>350</v>
      </c>
    </row>
    <row r="43" spans="1:10" x14ac:dyDescent="0.25">
      <c r="A43" t="s">
        <v>78</v>
      </c>
      <c r="B43" s="3">
        <v>46194.633784722217</v>
      </c>
      <c r="C43" t="s">
        <v>60</v>
      </c>
      <c r="D43" t="b">
        <v>0</v>
      </c>
      <c r="E43" s="4"/>
      <c r="F43" s="4"/>
      <c r="G43" s="4"/>
      <c r="H43" t="s">
        <v>63</v>
      </c>
      <c r="I43" s="5" t="str">
        <f t="shared" si="0"/>
        <v>vidx2pidx</v>
      </c>
      <c r="J43" t="s">
        <v>352</v>
      </c>
    </row>
    <row r="44" spans="1:10" x14ac:dyDescent="0.25">
      <c r="A44" s="2" t="s">
        <v>79</v>
      </c>
      <c r="B44" s="6">
        <v>46194.314189814817</v>
      </c>
      <c r="C44" s="2" t="s">
        <v>60</v>
      </c>
      <c r="D44" s="2" t="b">
        <v>0</v>
      </c>
      <c r="E44" s="7"/>
      <c r="F44" s="7"/>
      <c r="G44" s="7"/>
      <c r="H44" s="2" t="s">
        <v>63</v>
      </c>
      <c r="I44" s="8" t="str">
        <f t="shared" si="0"/>
        <v>cpackget</v>
      </c>
      <c r="J44" s="2" t="s">
        <v>352</v>
      </c>
    </row>
    <row r="45" spans="1:10" x14ac:dyDescent="0.25">
      <c r="A45" t="s">
        <v>80</v>
      </c>
      <c r="B45" s="3">
        <v>46194.085659722223</v>
      </c>
      <c r="C45" t="s">
        <v>60</v>
      </c>
      <c r="D45" t="b">
        <v>0</v>
      </c>
      <c r="E45" s="4"/>
      <c r="F45" s="4"/>
      <c r="G45" s="4"/>
      <c r="H45" t="s">
        <v>63</v>
      </c>
      <c r="I45" s="5" t="str">
        <f t="shared" si="0"/>
        <v>generator-bridge</v>
      </c>
      <c r="J45" t="s">
        <v>352</v>
      </c>
    </row>
    <row r="46" spans="1:10" x14ac:dyDescent="0.25">
      <c r="A46" s="2" t="s">
        <v>81</v>
      </c>
      <c r="B46" s="6">
        <v>46194.04315972222</v>
      </c>
      <c r="C46" s="2" t="s">
        <v>60</v>
      </c>
      <c r="D46" s="2" t="b">
        <v>0</v>
      </c>
      <c r="E46" s="7"/>
      <c r="F46" s="7"/>
      <c r="G46" s="7"/>
      <c r="H46" s="2" t="s">
        <v>63</v>
      </c>
      <c r="I46" s="8" t="str">
        <f t="shared" si="0"/>
        <v>Open-CMSIS-Pack-Spec</v>
      </c>
      <c r="J46" s="2" t="s">
        <v>352</v>
      </c>
    </row>
    <row r="47" spans="1:10" x14ac:dyDescent="0.25">
      <c r="A47" t="s">
        <v>82</v>
      </c>
      <c r="B47" s="3">
        <v>46188.542534722219</v>
      </c>
      <c r="C47" t="s">
        <v>60</v>
      </c>
      <c r="D47" t="b">
        <v>0</v>
      </c>
      <c r="E47" s="4">
        <v>43</v>
      </c>
      <c r="F47" s="4">
        <v>284</v>
      </c>
      <c r="G47" s="4">
        <v>287</v>
      </c>
      <c r="H47" t="s">
        <v>61</v>
      </c>
      <c r="I47" s="5" t="str">
        <f t="shared" si="0"/>
        <v>csolution-examples</v>
      </c>
      <c r="J47" t="s">
        <v>350</v>
      </c>
    </row>
    <row r="48" spans="1:10" x14ac:dyDescent="0.25">
      <c r="A48" s="2" t="s">
        <v>83</v>
      </c>
      <c r="B48" s="6">
        <v>46178.482222222221</v>
      </c>
      <c r="C48" s="2" t="s">
        <v>60</v>
      </c>
      <c r="D48" s="2" t="b">
        <v>0</v>
      </c>
      <c r="E48" s="7">
        <v>1</v>
      </c>
      <c r="F48" s="7">
        <v>24</v>
      </c>
      <c r="G48" s="7">
        <v>1</v>
      </c>
      <c r="H48" s="2" t="s">
        <v>61</v>
      </c>
      <c r="I48" s="8" t="str">
        <f t="shared" si="0"/>
        <v>NXP_IMXRT1050-EVKB_BSP</v>
      </c>
      <c r="J48" s="2" t="s">
        <v>350</v>
      </c>
    </row>
    <row r="49" spans="1:10" x14ac:dyDescent="0.25">
      <c r="A49" t="s">
        <v>84</v>
      </c>
      <c r="B49" s="3">
        <v>46178.467812499999</v>
      </c>
      <c r="C49" t="s">
        <v>60</v>
      </c>
      <c r="D49" t="b">
        <v>0</v>
      </c>
      <c r="E49" s="4">
        <v>3</v>
      </c>
      <c r="F49" s="4">
        <v>31</v>
      </c>
      <c r="G49" s="4">
        <v>12</v>
      </c>
      <c r="H49" t="s">
        <v>61</v>
      </c>
      <c r="I49" s="5" t="str">
        <f t="shared" si="0"/>
        <v>NXP_iMXRT105x_MWP</v>
      </c>
      <c r="J49" t="s">
        <v>350</v>
      </c>
    </row>
    <row r="50" spans="1:10" x14ac:dyDescent="0.25">
      <c r="A50" s="2" t="s">
        <v>85</v>
      </c>
      <c r="B50" s="6">
        <v>46176.473761574067</v>
      </c>
      <c r="C50" s="2" t="s">
        <v>60</v>
      </c>
      <c r="D50" s="2" t="b">
        <v>0</v>
      </c>
      <c r="E50" s="7">
        <v>59</v>
      </c>
      <c r="F50" s="7">
        <v>40</v>
      </c>
      <c r="G50" s="7">
        <v>149</v>
      </c>
      <c r="H50" s="2" t="s">
        <v>61</v>
      </c>
      <c r="I50" s="8" t="str">
        <f t="shared" si="0"/>
        <v>CMSIS-Driver_STM32</v>
      </c>
      <c r="J50" s="2" t="s">
        <v>350</v>
      </c>
    </row>
    <row r="51" spans="1:10" x14ac:dyDescent="0.25">
      <c r="A51" t="s">
        <v>86</v>
      </c>
      <c r="B51" s="3">
        <v>46162.381724537037</v>
      </c>
      <c r="C51" t="s">
        <v>60</v>
      </c>
      <c r="D51" t="b">
        <v>0</v>
      </c>
      <c r="E51" s="4">
        <v>3</v>
      </c>
      <c r="F51" s="4">
        <v>28</v>
      </c>
      <c r="G51" s="4">
        <v>5</v>
      </c>
      <c r="H51" t="s">
        <v>61</v>
      </c>
      <c r="I51" s="5" t="str">
        <f t="shared" si="0"/>
        <v>STM32N6570-DK_BSP</v>
      </c>
      <c r="J51" t="s">
        <v>350</v>
      </c>
    </row>
    <row r="52" spans="1:10" x14ac:dyDescent="0.25">
      <c r="A52" s="2" t="s">
        <v>87</v>
      </c>
      <c r="B52" s="6">
        <v>46162.380474537043</v>
      </c>
      <c r="C52" s="2" t="s">
        <v>60</v>
      </c>
      <c r="D52" s="2" t="b">
        <v>0</v>
      </c>
      <c r="E52" s="7">
        <v>10</v>
      </c>
      <c r="F52" s="7">
        <v>60</v>
      </c>
      <c r="G52" s="7">
        <v>24</v>
      </c>
      <c r="H52" s="2" t="s">
        <v>61</v>
      </c>
      <c r="I52" s="8" t="str">
        <f t="shared" si="0"/>
        <v>STM32N6xx_DFP</v>
      </c>
      <c r="J52" s="2" t="s">
        <v>350</v>
      </c>
    </row>
    <row r="53" spans="1:10" x14ac:dyDescent="0.25">
      <c r="A53" t="s">
        <v>88</v>
      </c>
      <c r="B53" s="3">
        <v>46152.43273148148</v>
      </c>
      <c r="C53" t="s">
        <v>60</v>
      </c>
      <c r="D53" t="b">
        <v>0</v>
      </c>
      <c r="E53" s="4">
        <v>1</v>
      </c>
      <c r="F53" s="4">
        <v>26</v>
      </c>
      <c r="G53" s="4">
        <v>2</v>
      </c>
      <c r="H53" t="s">
        <v>61</v>
      </c>
      <c r="I53" s="5" t="str">
        <f t="shared" si="0"/>
        <v>vscode-extension-workflows</v>
      </c>
      <c r="J53" t="s">
        <v>350</v>
      </c>
    </row>
    <row r="54" spans="1:10" x14ac:dyDescent="0.25">
      <c r="A54" s="2" t="s">
        <v>89</v>
      </c>
      <c r="B54" s="6">
        <v>46125.326215277782</v>
      </c>
      <c r="C54" s="2" t="s">
        <v>60</v>
      </c>
      <c r="D54" s="2" t="b">
        <v>0</v>
      </c>
      <c r="E54" s="7">
        <v>3</v>
      </c>
      <c r="F54" s="7">
        <v>21</v>
      </c>
      <c r="G54" s="7">
        <v>6</v>
      </c>
      <c r="H54" s="2" t="s">
        <v>61</v>
      </c>
      <c r="I54" s="8" t="str">
        <f t="shared" si="0"/>
        <v>NXP_FRDM-MCXN947_BSP</v>
      </c>
      <c r="J54" s="2" t="s">
        <v>350</v>
      </c>
    </row>
    <row r="55" spans="1:10" x14ac:dyDescent="0.25">
      <c r="A55" t="s">
        <v>90</v>
      </c>
      <c r="B55" s="3">
        <v>46119.475624999999</v>
      </c>
      <c r="C55" t="s">
        <v>60</v>
      </c>
      <c r="D55" t="b">
        <v>0</v>
      </c>
      <c r="E55" s="4"/>
      <c r="F55" s="4"/>
      <c r="G55" s="4"/>
      <c r="H55" t="s">
        <v>63</v>
      </c>
      <c r="I55" s="5" t="str">
        <f t="shared" si="0"/>
        <v>svd-spec</v>
      </c>
      <c r="J55" t="s">
        <v>351</v>
      </c>
    </row>
    <row r="56" spans="1:10" x14ac:dyDescent="0.25">
      <c r="A56" s="2" t="s">
        <v>91</v>
      </c>
      <c r="B56" s="6">
        <v>46113.603194444448</v>
      </c>
      <c r="C56" s="2" t="s">
        <v>60</v>
      </c>
      <c r="D56" s="2" t="b">
        <v>0</v>
      </c>
      <c r="E56" s="7"/>
      <c r="F56" s="7"/>
      <c r="G56" s="7"/>
      <c r="H56" s="2" t="s">
        <v>63</v>
      </c>
      <c r="I56" s="8" t="str">
        <f t="shared" si="0"/>
        <v>devtools-build-action</v>
      </c>
      <c r="J56" s="2" t="s">
        <v>351</v>
      </c>
    </row>
    <row r="57" spans="1:10" x14ac:dyDescent="0.25">
      <c r="A57" t="s">
        <v>92</v>
      </c>
      <c r="B57" s="3">
        <v>46105.315937500003</v>
      </c>
      <c r="C57" t="s">
        <v>60</v>
      </c>
      <c r="D57" t="b">
        <v>0</v>
      </c>
      <c r="E57" s="4"/>
      <c r="F57" s="4"/>
      <c r="G57" s="4"/>
      <c r="H57" t="s">
        <v>63</v>
      </c>
      <c r="I57" s="5" t="str">
        <f t="shared" si="0"/>
        <v>.github</v>
      </c>
      <c r="J57" t="s">
        <v>351</v>
      </c>
    </row>
    <row r="58" spans="1:10" x14ac:dyDescent="0.25">
      <c r="A58" s="2" t="s">
        <v>93</v>
      </c>
      <c r="B58" s="6">
        <v>46104.310347222221</v>
      </c>
      <c r="C58" s="2" t="s">
        <v>60</v>
      </c>
      <c r="D58" s="2" t="b">
        <v>0</v>
      </c>
      <c r="E58" s="7">
        <v>4</v>
      </c>
      <c r="F58" s="7">
        <v>61</v>
      </c>
      <c r="G58" s="7">
        <v>6</v>
      </c>
      <c r="H58" s="2" t="s">
        <v>61</v>
      </c>
      <c r="I58" s="8" t="str">
        <f t="shared" si="0"/>
        <v>STM32U0xx_DFP</v>
      </c>
      <c r="J58" s="2" t="s">
        <v>350</v>
      </c>
    </row>
    <row r="59" spans="1:10" x14ac:dyDescent="0.25">
      <c r="A59" t="s">
        <v>94</v>
      </c>
      <c r="B59" s="3">
        <v>46094.713935185187</v>
      </c>
      <c r="C59" t="s">
        <v>60</v>
      </c>
      <c r="D59" t="b">
        <v>0</v>
      </c>
      <c r="E59" s="4"/>
      <c r="F59" s="4"/>
      <c r="G59" s="4"/>
      <c r="H59" t="s">
        <v>63</v>
      </c>
      <c r="I59" s="5" t="str">
        <f t="shared" ref="I59:I90" si="1">HYPERLINK("https://github.com/" &amp; "open-cmsis-pack" &amp; "/" &amp; A59, A59)</f>
        <v>vcpkg-ce-registry</v>
      </c>
      <c r="J59" t="s">
        <v>351</v>
      </c>
    </row>
    <row r="60" spans="1:10" x14ac:dyDescent="0.25">
      <c r="A60" s="2" t="s">
        <v>95</v>
      </c>
      <c r="B60" s="6">
        <v>46092.411469907413</v>
      </c>
      <c r="C60" s="2" t="s">
        <v>60</v>
      </c>
      <c r="D60" s="2" t="b">
        <v>0</v>
      </c>
      <c r="E60" s="7"/>
      <c r="F60" s="7"/>
      <c r="G60" s="7"/>
      <c r="H60" s="2" t="s">
        <v>63</v>
      </c>
      <c r="I60" s="8" t="str">
        <f t="shared" si="1"/>
        <v>landing</v>
      </c>
      <c r="J60" s="2" t="s">
        <v>351</v>
      </c>
    </row>
    <row r="61" spans="1:10" x14ac:dyDescent="0.25">
      <c r="A61" t="s">
        <v>96</v>
      </c>
      <c r="B61" s="3">
        <v>46087.404664351852</v>
      </c>
      <c r="C61" t="s">
        <v>60</v>
      </c>
      <c r="D61" t="b">
        <v>0</v>
      </c>
      <c r="E61" s="4">
        <v>31</v>
      </c>
      <c r="F61" s="4">
        <v>64</v>
      </c>
      <c r="G61" s="4">
        <v>77</v>
      </c>
      <c r="H61" t="s">
        <v>61</v>
      </c>
      <c r="I61" s="5" t="str">
        <f t="shared" si="1"/>
        <v>STM32H5xx_DFP</v>
      </c>
      <c r="J61" t="s">
        <v>350</v>
      </c>
    </row>
    <row r="62" spans="1:10" x14ac:dyDescent="0.25">
      <c r="A62" s="2" t="s">
        <v>97</v>
      </c>
      <c r="B62" s="6">
        <v>46087.404386574082</v>
      </c>
      <c r="C62" s="2" t="s">
        <v>60</v>
      </c>
      <c r="D62" s="2" t="b">
        <v>0</v>
      </c>
      <c r="E62" s="7">
        <v>5</v>
      </c>
      <c r="F62" s="7">
        <v>58</v>
      </c>
      <c r="G62" s="7">
        <v>8</v>
      </c>
      <c r="H62" s="2" t="s">
        <v>61</v>
      </c>
      <c r="I62" s="8" t="str">
        <f t="shared" si="1"/>
        <v>STM32U3xx_DFP</v>
      </c>
      <c r="J62" s="2" t="s">
        <v>350</v>
      </c>
    </row>
    <row r="63" spans="1:10" x14ac:dyDescent="0.25">
      <c r="A63" t="s">
        <v>98</v>
      </c>
      <c r="B63" s="3">
        <v>46087.403541666667</v>
      </c>
      <c r="C63" t="s">
        <v>60</v>
      </c>
      <c r="D63" t="b">
        <v>0</v>
      </c>
      <c r="E63" s="4">
        <v>3</v>
      </c>
      <c r="F63" s="4">
        <v>60</v>
      </c>
      <c r="G63" s="4">
        <v>7</v>
      </c>
      <c r="H63" t="s">
        <v>61</v>
      </c>
      <c r="I63" s="5" t="str">
        <f t="shared" si="1"/>
        <v>STM32WBAxx_DFP</v>
      </c>
      <c r="J63" t="s">
        <v>350</v>
      </c>
    </row>
    <row r="64" spans="1:10" x14ac:dyDescent="0.25">
      <c r="A64" s="2" t="s">
        <v>99</v>
      </c>
      <c r="B64" s="6">
        <v>46071.694571759261</v>
      </c>
      <c r="C64" s="2" t="s">
        <v>60</v>
      </c>
      <c r="D64" s="2" t="b">
        <v>0</v>
      </c>
      <c r="E64" s="7">
        <v>0</v>
      </c>
      <c r="F64" s="7">
        <v>61</v>
      </c>
      <c r="G64" s="7">
        <v>0</v>
      </c>
      <c r="H64" s="2" t="s">
        <v>61</v>
      </c>
      <c r="I64" s="8" t="str">
        <f t="shared" si="1"/>
        <v>STM32WL3x_DFP</v>
      </c>
      <c r="J64" s="2" t="s">
        <v>350</v>
      </c>
    </row>
    <row r="65" spans="1:10" x14ac:dyDescent="0.25">
      <c r="A65" t="s">
        <v>100</v>
      </c>
      <c r="B65" s="3">
        <v>46071.691724537042</v>
      </c>
      <c r="C65" t="s">
        <v>60</v>
      </c>
      <c r="D65" t="b">
        <v>0</v>
      </c>
      <c r="E65" s="4">
        <v>4</v>
      </c>
      <c r="F65" s="4">
        <v>58</v>
      </c>
      <c r="G65" s="4">
        <v>6</v>
      </c>
      <c r="H65" t="s">
        <v>61</v>
      </c>
      <c r="I65" s="5" t="str">
        <f t="shared" si="1"/>
        <v>STM32WBxx_DFP</v>
      </c>
      <c r="J65" t="s">
        <v>350</v>
      </c>
    </row>
    <row r="66" spans="1:10" x14ac:dyDescent="0.25">
      <c r="A66" s="2" t="s">
        <v>101</v>
      </c>
      <c r="B66" s="6">
        <v>46071.686006944437</v>
      </c>
      <c r="C66" s="2" t="s">
        <v>60</v>
      </c>
      <c r="D66" s="2" t="b">
        <v>0</v>
      </c>
      <c r="E66" s="7">
        <v>3</v>
      </c>
      <c r="F66" s="7">
        <v>59</v>
      </c>
      <c r="G66" s="7">
        <v>4</v>
      </c>
      <c r="H66" s="2" t="s">
        <v>61</v>
      </c>
      <c r="I66" s="8" t="str">
        <f t="shared" si="1"/>
        <v>STM32WB0x_DFP</v>
      </c>
      <c r="J66" s="2" t="s">
        <v>350</v>
      </c>
    </row>
    <row r="67" spans="1:10" x14ac:dyDescent="0.25">
      <c r="A67" t="s">
        <v>102</v>
      </c>
      <c r="B67" s="3">
        <v>46071.682430555556</v>
      </c>
      <c r="C67" t="s">
        <v>60</v>
      </c>
      <c r="D67" t="b">
        <v>0</v>
      </c>
      <c r="E67" s="4">
        <v>27</v>
      </c>
      <c r="F67" s="4">
        <v>72</v>
      </c>
      <c r="G67" s="4">
        <v>78</v>
      </c>
      <c r="H67" t="s">
        <v>61</v>
      </c>
      <c r="I67" s="5" t="str">
        <f t="shared" si="1"/>
        <v>STM32U5xx_DFP</v>
      </c>
      <c r="J67" t="s">
        <v>350</v>
      </c>
    </row>
    <row r="68" spans="1:10" x14ac:dyDescent="0.25">
      <c r="A68" s="2" t="s">
        <v>103</v>
      </c>
      <c r="B68" s="6">
        <v>46071.679918981477</v>
      </c>
      <c r="C68" s="2" t="s">
        <v>60</v>
      </c>
      <c r="D68" s="2" t="b">
        <v>0</v>
      </c>
      <c r="E68" s="7">
        <v>3</v>
      </c>
      <c r="F68" s="7">
        <v>20</v>
      </c>
      <c r="G68" s="7">
        <v>3</v>
      </c>
      <c r="H68" s="2" t="s">
        <v>61</v>
      </c>
      <c r="I68" s="8" t="str">
        <f t="shared" si="1"/>
        <v>STM32U575I-EV_BSP</v>
      </c>
      <c r="J68" s="2" t="s">
        <v>350</v>
      </c>
    </row>
    <row r="69" spans="1:10" x14ac:dyDescent="0.25">
      <c r="A69" t="s">
        <v>104</v>
      </c>
      <c r="B69" s="3">
        <v>46071.654803240737</v>
      </c>
      <c r="C69" t="s">
        <v>60</v>
      </c>
      <c r="D69" t="b">
        <v>0</v>
      </c>
      <c r="E69" s="4">
        <v>7</v>
      </c>
      <c r="F69" s="4">
        <v>62</v>
      </c>
      <c r="G69" s="4">
        <v>14</v>
      </c>
      <c r="H69" t="s">
        <v>61</v>
      </c>
      <c r="I69" s="5" t="str">
        <f t="shared" si="1"/>
        <v>STM32L5xx_DFP</v>
      </c>
      <c r="J69" t="s">
        <v>350</v>
      </c>
    </row>
    <row r="70" spans="1:10" x14ac:dyDescent="0.25">
      <c r="A70" s="2" t="s">
        <v>105</v>
      </c>
      <c r="B70" s="6">
        <v>46071.65116898148</v>
      </c>
      <c r="C70" s="2" t="s">
        <v>60</v>
      </c>
      <c r="D70" s="2" t="b">
        <v>0</v>
      </c>
      <c r="E70" s="7">
        <v>0</v>
      </c>
      <c r="F70" s="7">
        <v>19</v>
      </c>
      <c r="G70" s="7">
        <v>0</v>
      </c>
      <c r="H70" s="2" t="s">
        <v>61</v>
      </c>
      <c r="I70" s="8" t="str">
        <f t="shared" si="1"/>
        <v>STM32L562E-DK_BSP</v>
      </c>
      <c r="J70" s="2" t="s">
        <v>350</v>
      </c>
    </row>
    <row r="71" spans="1:10" x14ac:dyDescent="0.25">
      <c r="A71" t="s">
        <v>106</v>
      </c>
      <c r="B71" s="3">
        <v>46071.648055555554</v>
      </c>
      <c r="C71" t="s">
        <v>60</v>
      </c>
      <c r="D71" t="b">
        <v>0</v>
      </c>
      <c r="E71" s="4">
        <v>1</v>
      </c>
      <c r="F71" s="4">
        <v>21</v>
      </c>
      <c r="G71" s="4">
        <v>2</v>
      </c>
      <c r="H71" t="s">
        <v>61</v>
      </c>
      <c r="I71" s="5" t="str">
        <f t="shared" si="1"/>
        <v>STM32L552E-EV_BSP</v>
      </c>
      <c r="J71" t="s">
        <v>350</v>
      </c>
    </row>
    <row r="72" spans="1:10" x14ac:dyDescent="0.25">
      <c r="A72" s="2" t="s">
        <v>107</v>
      </c>
      <c r="B72" s="6">
        <v>46071.643761574072</v>
      </c>
      <c r="C72" s="2" t="s">
        <v>60</v>
      </c>
      <c r="D72" s="2" t="b">
        <v>0</v>
      </c>
      <c r="E72" s="7">
        <v>48</v>
      </c>
      <c r="F72" s="7">
        <v>62</v>
      </c>
      <c r="G72" s="7">
        <v>97</v>
      </c>
      <c r="H72" s="2" t="s">
        <v>61</v>
      </c>
      <c r="I72" s="8" t="str">
        <f t="shared" si="1"/>
        <v>STM32L4xx_DFP</v>
      </c>
      <c r="J72" s="2" t="s">
        <v>350</v>
      </c>
    </row>
    <row r="73" spans="1:10" x14ac:dyDescent="0.25">
      <c r="A73" t="s">
        <v>108</v>
      </c>
      <c r="B73" s="3">
        <v>46071.642141203702</v>
      </c>
      <c r="C73" t="s">
        <v>60</v>
      </c>
      <c r="D73" t="b">
        <v>0</v>
      </c>
      <c r="E73" s="4">
        <v>0</v>
      </c>
      <c r="F73" s="4">
        <v>20</v>
      </c>
      <c r="G73" s="4">
        <v>0</v>
      </c>
      <c r="H73" t="s">
        <v>61</v>
      </c>
      <c r="I73" s="5" t="str">
        <f t="shared" si="1"/>
        <v>STM32L4R9I-EVAL_BSP</v>
      </c>
      <c r="J73" t="s">
        <v>350</v>
      </c>
    </row>
    <row r="74" spans="1:10" x14ac:dyDescent="0.25">
      <c r="A74" s="2" t="s">
        <v>109</v>
      </c>
      <c r="B74" s="6">
        <v>46071.638564814813</v>
      </c>
      <c r="C74" s="2" t="s">
        <v>60</v>
      </c>
      <c r="D74" s="2" t="b">
        <v>0</v>
      </c>
      <c r="E74" s="7">
        <v>1</v>
      </c>
      <c r="F74" s="7">
        <v>19</v>
      </c>
      <c r="G74" s="7">
        <v>1</v>
      </c>
      <c r="H74" s="2" t="s">
        <v>61</v>
      </c>
      <c r="I74" s="8" t="str">
        <f t="shared" si="1"/>
        <v>STM32L4R9I-DISCO_BSP</v>
      </c>
      <c r="J74" s="2" t="s">
        <v>350</v>
      </c>
    </row>
    <row r="75" spans="1:10" x14ac:dyDescent="0.25">
      <c r="A75" t="s">
        <v>110</v>
      </c>
      <c r="B75" s="3">
        <v>46071.632372685177</v>
      </c>
      <c r="C75" t="s">
        <v>60</v>
      </c>
      <c r="D75" t="b">
        <v>0</v>
      </c>
      <c r="E75" s="4">
        <v>1</v>
      </c>
      <c r="F75" s="4">
        <v>18</v>
      </c>
      <c r="G75" s="4">
        <v>1</v>
      </c>
      <c r="H75" t="s">
        <v>61</v>
      </c>
      <c r="I75" s="5" t="str">
        <f t="shared" si="1"/>
        <v>STM32L496G-DISCO_BSP</v>
      </c>
      <c r="J75" t="s">
        <v>350</v>
      </c>
    </row>
    <row r="76" spans="1:10" x14ac:dyDescent="0.25">
      <c r="A76" s="2" t="s">
        <v>111</v>
      </c>
      <c r="B76" s="6">
        <v>46071.623784722222</v>
      </c>
      <c r="C76" s="2" t="s">
        <v>60</v>
      </c>
      <c r="D76" s="2" t="b">
        <v>0</v>
      </c>
      <c r="E76" s="7">
        <v>1</v>
      </c>
      <c r="F76" s="7">
        <v>21</v>
      </c>
      <c r="G76" s="7">
        <v>7</v>
      </c>
      <c r="H76" s="2" t="s">
        <v>61</v>
      </c>
      <c r="I76" s="8" t="str">
        <f t="shared" si="1"/>
        <v>STM32L476G-EVAL_BSP</v>
      </c>
      <c r="J76" s="2" t="s">
        <v>350</v>
      </c>
    </row>
    <row r="77" spans="1:10" x14ac:dyDescent="0.25">
      <c r="A77" t="s">
        <v>112</v>
      </c>
      <c r="B77" s="3">
        <v>46071.616932870369</v>
      </c>
      <c r="C77" t="s">
        <v>60</v>
      </c>
      <c r="D77" t="b">
        <v>0</v>
      </c>
      <c r="E77" s="4">
        <v>9</v>
      </c>
      <c r="F77" s="4">
        <v>58</v>
      </c>
      <c r="G77" s="4">
        <v>18</v>
      </c>
      <c r="H77" t="s">
        <v>61</v>
      </c>
      <c r="I77" s="5" t="str">
        <f t="shared" si="1"/>
        <v>STM32L1xx_DFP</v>
      </c>
      <c r="J77" t="s">
        <v>350</v>
      </c>
    </row>
    <row r="78" spans="1:10" x14ac:dyDescent="0.25">
      <c r="A78" s="2" t="s">
        <v>113</v>
      </c>
      <c r="B78" s="6">
        <v>46071.613796296297</v>
      </c>
      <c r="C78" s="2" t="s">
        <v>60</v>
      </c>
      <c r="D78" s="2" t="b">
        <v>0</v>
      </c>
      <c r="E78" s="7">
        <v>33</v>
      </c>
      <c r="F78" s="7">
        <v>61</v>
      </c>
      <c r="G78" s="7">
        <v>73</v>
      </c>
      <c r="H78" s="2" t="s">
        <v>61</v>
      </c>
      <c r="I78" s="8" t="str">
        <f t="shared" si="1"/>
        <v>STM32L0xx_DFP</v>
      </c>
      <c r="J78" s="2" t="s">
        <v>350</v>
      </c>
    </row>
    <row r="79" spans="1:10" x14ac:dyDescent="0.25">
      <c r="A79" t="s">
        <v>114</v>
      </c>
      <c r="B79" s="3">
        <v>46071.595081018517</v>
      </c>
      <c r="C79" t="s">
        <v>60</v>
      </c>
      <c r="D79" t="b">
        <v>0</v>
      </c>
      <c r="E79" s="4">
        <v>2</v>
      </c>
      <c r="F79" s="4">
        <v>23</v>
      </c>
      <c r="G79" s="4">
        <v>6</v>
      </c>
      <c r="H79" t="s">
        <v>61</v>
      </c>
      <c r="I79" s="5" t="str">
        <f t="shared" si="1"/>
        <v>STM32H7S78-DK_BSP</v>
      </c>
      <c r="J79" t="s">
        <v>350</v>
      </c>
    </row>
    <row r="80" spans="1:10" x14ac:dyDescent="0.25">
      <c r="A80" s="2" t="s">
        <v>115</v>
      </c>
      <c r="B80" s="6">
        <v>46071.586689814823</v>
      </c>
      <c r="C80" s="2" t="s">
        <v>60</v>
      </c>
      <c r="D80" s="2" t="b">
        <v>0</v>
      </c>
      <c r="E80" s="7">
        <v>5</v>
      </c>
      <c r="F80" s="7">
        <v>61</v>
      </c>
      <c r="G80" s="7">
        <v>10</v>
      </c>
      <c r="H80" s="2" t="s">
        <v>61</v>
      </c>
      <c r="I80" s="8" t="str">
        <f t="shared" si="1"/>
        <v>STM32H7RSxx_DFP</v>
      </c>
      <c r="J80" s="2" t="s">
        <v>350</v>
      </c>
    </row>
    <row r="81" spans="1:10" x14ac:dyDescent="0.25">
      <c r="A81" t="s">
        <v>116</v>
      </c>
      <c r="B81" s="3">
        <v>46071.574502314812</v>
      </c>
      <c r="C81" t="s">
        <v>60</v>
      </c>
      <c r="D81" t="b">
        <v>0</v>
      </c>
      <c r="E81" s="4">
        <v>1</v>
      </c>
      <c r="F81" s="4">
        <v>21</v>
      </c>
      <c r="G81" s="4">
        <v>1</v>
      </c>
      <c r="H81" t="s">
        <v>61</v>
      </c>
      <c r="I81" s="5" t="str">
        <f t="shared" si="1"/>
        <v>STM32H7B3I-EVAL_BSP</v>
      </c>
      <c r="J81" t="s">
        <v>350</v>
      </c>
    </row>
    <row r="82" spans="1:10" x14ac:dyDescent="0.25">
      <c r="A82" s="2" t="s">
        <v>117</v>
      </c>
      <c r="B82" s="6">
        <v>46071.570150462961</v>
      </c>
      <c r="C82" s="2" t="s">
        <v>60</v>
      </c>
      <c r="D82" s="2" t="b">
        <v>0</v>
      </c>
      <c r="E82" s="7">
        <v>0</v>
      </c>
      <c r="F82" s="7">
        <v>17</v>
      </c>
      <c r="G82" s="7">
        <v>0</v>
      </c>
      <c r="H82" s="2" t="s">
        <v>61</v>
      </c>
      <c r="I82" s="8" t="str">
        <f t="shared" si="1"/>
        <v>STM32H7B3I-DK_BSP</v>
      </c>
      <c r="J82" s="2" t="s">
        <v>350</v>
      </c>
    </row>
    <row r="83" spans="1:10" x14ac:dyDescent="0.25">
      <c r="A83" t="s">
        <v>118</v>
      </c>
      <c r="B83" s="3">
        <v>46071.565567129634</v>
      </c>
      <c r="C83" t="s">
        <v>60</v>
      </c>
      <c r="D83" t="b">
        <v>0</v>
      </c>
      <c r="E83" s="4">
        <v>3</v>
      </c>
      <c r="F83" s="4">
        <v>21</v>
      </c>
      <c r="G83" s="4">
        <v>11</v>
      </c>
      <c r="H83" t="s">
        <v>61</v>
      </c>
      <c r="I83" s="5" t="str">
        <f t="shared" si="1"/>
        <v>STM32H747I-EVAL_BSP</v>
      </c>
      <c r="J83" t="s">
        <v>350</v>
      </c>
    </row>
    <row r="84" spans="1:10" x14ac:dyDescent="0.25">
      <c r="A84" s="2" t="s">
        <v>119</v>
      </c>
      <c r="B84" s="6">
        <v>46071.561273148152</v>
      </c>
      <c r="C84" s="2" t="s">
        <v>60</v>
      </c>
      <c r="D84" s="2" t="b">
        <v>0</v>
      </c>
      <c r="E84" s="7">
        <v>1</v>
      </c>
      <c r="F84" s="7">
        <v>21</v>
      </c>
      <c r="G84" s="7">
        <v>1</v>
      </c>
      <c r="H84" s="2" t="s">
        <v>61</v>
      </c>
      <c r="I84" s="8" t="str">
        <f t="shared" si="1"/>
        <v>STM32H745I-DISCO_BSP</v>
      </c>
      <c r="J84" s="2" t="s">
        <v>350</v>
      </c>
    </row>
    <row r="85" spans="1:10" x14ac:dyDescent="0.25">
      <c r="A85" t="s">
        <v>120</v>
      </c>
      <c r="B85" s="3">
        <v>46071.557083333333</v>
      </c>
      <c r="C85" t="s">
        <v>60</v>
      </c>
      <c r="D85" t="b">
        <v>0</v>
      </c>
      <c r="E85" s="4">
        <v>6</v>
      </c>
      <c r="F85" s="4">
        <v>19</v>
      </c>
      <c r="G85" s="4">
        <v>13</v>
      </c>
      <c r="H85" t="s">
        <v>61</v>
      </c>
      <c r="I85" s="5" t="str">
        <f t="shared" si="1"/>
        <v>STM32H743I-EVAL_BSP</v>
      </c>
      <c r="J85" t="s">
        <v>350</v>
      </c>
    </row>
    <row r="86" spans="1:10" x14ac:dyDescent="0.25">
      <c r="A86" s="2" t="s">
        <v>121</v>
      </c>
      <c r="B86" s="6">
        <v>46071.545439814807</v>
      </c>
      <c r="C86" s="2" t="s">
        <v>60</v>
      </c>
      <c r="D86" s="2" t="b">
        <v>0</v>
      </c>
      <c r="E86" s="7">
        <v>2</v>
      </c>
      <c r="F86" s="7">
        <v>20</v>
      </c>
      <c r="G86" s="7">
        <v>4</v>
      </c>
      <c r="H86" s="2" t="s">
        <v>61</v>
      </c>
      <c r="I86" s="8" t="str">
        <f t="shared" si="1"/>
        <v>STM32H735G-DK_BSP</v>
      </c>
      <c r="J86" s="2" t="s">
        <v>350</v>
      </c>
    </row>
    <row r="87" spans="1:10" x14ac:dyDescent="0.25">
      <c r="A87" t="s">
        <v>122</v>
      </c>
      <c r="B87" s="3">
        <v>46071.531354166669</v>
      </c>
      <c r="C87" t="s">
        <v>60</v>
      </c>
      <c r="D87" t="b">
        <v>0</v>
      </c>
      <c r="E87" s="4">
        <v>88</v>
      </c>
      <c r="F87" s="4">
        <v>71</v>
      </c>
      <c r="G87" s="4">
        <v>195</v>
      </c>
      <c r="H87" t="s">
        <v>61</v>
      </c>
      <c r="I87" s="5" t="str">
        <f t="shared" si="1"/>
        <v>STM32G4xx_DFP</v>
      </c>
      <c r="J87" t="s">
        <v>350</v>
      </c>
    </row>
    <row r="88" spans="1:10" x14ac:dyDescent="0.25">
      <c r="A88" s="2" t="s">
        <v>123</v>
      </c>
      <c r="B88" s="6">
        <v>46071.526226851849</v>
      </c>
      <c r="C88" s="2" t="s">
        <v>60</v>
      </c>
      <c r="D88" s="2" t="b">
        <v>0</v>
      </c>
      <c r="E88" s="7">
        <v>4</v>
      </c>
      <c r="F88" s="7">
        <v>18</v>
      </c>
      <c r="G88" s="7">
        <v>7</v>
      </c>
      <c r="H88" s="2" t="s">
        <v>61</v>
      </c>
      <c r="I88" s="8" t="str">
        <f t="shared" si="1"/>
        <v>STM32G474E-EVAL1_BSP</v>
      </c>
      <c r="J88" s="2" t="s">
        <v>350</v>
      </c>
    </row>
    <row r="89" spans="1:10" x14ac:dyDescent="0.25">
      <c r="A89" t="s">
        <v>124</v>
      </c>
      <c r="B89" s="3">
        <v>46071.520416666674</v>
      </c>
      <c r="C89" t="s">
        <v>60</v>
      </c>
      <c r="D89" t="b">
        <v>0</v>
      </c>
      <c r="E89" s="4">
        <v>66</v>
      </c>
      <c r="F89" s="4">
        <v>62</v>
      </c>
      <c r="G89" s="4">
        <v>145</v>
      </c>
      <c r="H89" t="s">
        <v>61</v>
      </c>
      <c r="I89" s="5" t="str">
        <f t="shared" si="1"/>
        <v>STM32G0xx_DFP</v>
      </c>
      <c r="J89" t="s">
        <v>350</v>
      </c>
    </row>
    <row r="90" spans="1:10" x14ac:dyDescent="0.25">
      <c r="A90" s="2" t="s">
        <v>125</v>
      </c>
      <c r="B90" s="6">
        <v>46071.517129629632</v>
      </c>
      <c r="C90" s="2" t="s">
        <v>60</v>
      </c>
      <c r="D90" s="2" t="b">
        <v>0</v>
      </c>
      <c r="E90" s="7">
        <v>3</v>
      </c>
      <c r="F90" s="7">
        <v>19</v>
      </c>
      <c r="G90" s="7">
        <v>3</v>
      </c>
      <c r="H90" s="2" t="s">
        <v>61</v>
      </c>
      <c r="I90" s="8" t="str">
        <f t="shared" si="1"/>
        <v>STM32G071B-DISCO_BSP</v>
      </c>
      <c r="J90" s="2" t="s">
        <v>350</v>
      </c>
    </row>
    <row r="91" spans="1:10" x14ac:dyDescent="0.25">
      <c r="A91" t="s">
        <v>126</v>
      </c>
      <c r="B91" s="3">
        <v>46071.507824074077</v>
      </c>
      <c r="C91" t="s">
        <v>60</v>
      </c>
      <c r="D91" t="b">
        <v>0</v>
      </c>
      <c r="E91" s="4">
        <v>27</v>
      </c>
      <c r="F91" s="4">
        <v>60</v>
      </c>
      <c r="G91" s="4">
        <v>59</v>
      </c>
      <c r="H91" t="s">
        <v>61</v>
      </c>
      <c r="I91" s="5" t="str">
        <f t="shared" ref="I91:I122" si="2">HYPERLINK("https://github.com/" &amp; "open-cmsis-pack" &amp; "/" &amp; A91, A91)</f>
        <v>STM32F7xx_DFP</v>
      </c>
      <c r="J91" t="s">
        <v>350</v>
      </c>
    </row>
    <row r="92" spans="1:10" x14ac:dyDescent="0.25">
      <c r="A92" s="2" t="s">
        <v>127</v>
      </c>
      <c r="B92" s="6">
        <v>46071.491678240738</v>
      </c>
      <c r="C92" s="2" t="s">
        <v>60</v>
      </c>
      <c r="D92" s="2" t="b">
        <v>0</v>
      </c>
      <c r="E92" s="7">
        <v>1</v>
      </c>
      <c r="F92" s="7">
        <v>20</v>
      </c>
      <c r="G92" s="7">
        <v>3</v>
      </c>
      <c r="H92" s="2" t="s">
        <v>61</v>
      </c>
      <c r="I92" s="8" t="str">
        <f t="shared" si="2"/>
        <v>STM32F769I-EVAL_BSP</v>
      </c>
      <c r="J92" s="2" t="s">
        <v>350</v>
      </c>
    </row>
    <row r="93" spans="1:10" x14ac:dyDescent="0.25">
      <c r="A93" t="s">
        <v>128</v>
      </c>
      <c r="B93" s="3">
        <v>46071.480219907397</v>
      </c>
      <c r="C93" t="s">
        <v>60</v>
      </c>
      <c r="D93" t="b">
        <v>0</v>
      </c>
      <c r="E93" s="4">
        <v>0</v>
      </c>
      <c r="F93" s="4">
        <v>20</v>
      </c>
      <c r="G93" s="4">
        <v>0</v>
      </c>
      <c r="H93" t="s">
        <v>61</v>
      </c>
      <c r="I93" s="5" t="str">
        <f t="shared" si="2"/>
        <v>STM32F769I-DISCO_BSP</v>
      </c>
      <c r="J93" t="s">
        <v>350</v>
      </c>
    </row>
    <row r="94" spans="1:10" x14ac:dyDescent="0.25">
      <c r="A94" s="2" t="s">
        <v>129</v>
      </c>
      <c r="B94" s="6">
        <v>46071.411168981482</v>
      </c>
      <c r="C94" s="2" t="s">
        <v>60</v>
      </c>
      <c r="D94" s="2" t="b">
        <v>0</v>
      </c>
      <c r="E94" s="7">
        <v>3</v>
      </c>
      <c r="F94" s="7">
        <v>18</v>
      </c>
      <c r="G94" s="7">
        <v>3</v>
      </c>
      <c r="H94" s="2" t="s">
        <v>61</v>
      </c>
      <c r="I94" s="8" t="str">
        <f t="shared" si="2"/>
        <v>STM32F746G-DISCO_BSP</v>
      </c>
      <c r="J94" s="2" t="s">
        <v>350</v>
      </c>
    </row>
    <row r="95" spans="1:10" x14ac:dyDescent="0.25">
      <c r="A95" t="s">
        <v>130</v>
      </c>
      <c r="B95" s="3">
        <v>46071.382488425923</v>
      </c>
      <c r="C95" t="s">
        <v>60</v>
      </c>
      <c r="D95" t="b">
        <v>0</v>
      </c>
      <c r="E95" s="4">
        <v>450</v>
      </c>
      <c r="F95" s="4">
        <v>64</v>
      </c>
      <c r="G95" s="4">
        <v>914</v>
      </c>
      <c r="H95" t="s">
        <v>61</v>
      </c>
      <c r="I95" s="5" t="str">
        <f t="shared" si="2"/>
        <v>STM32F4xx_DFP</v>
      </c>
      <c r="J95" t="s">
        <v>350</v>
      </c>
    </row>
    <row r="96" spans="1:10" x14ac:dyDescent="0.25">
      <c r="A96" s="2" t="s">
        <v>131</v>
      </c>
      <c r="B96" s="6">
        <v>46070.696076388893</v>
      </c>
      <c r="C96" s="2" t="s">
        <v>60</v>
      </c>
      <c r="D96" s="2" t="b">
        <v>0</v>
      </c>
      <c r="E96" s="7">
        <v>0</v>
      </c>
      <c r="F96" s="7">
        <v>20</v>
      </c>
      <c r="G96" s="7">
        <v>0</v>
      </c>
      <c r="H96" s="2" t="s">
        <v>61</v>
      </c>
      <c r="I96" s="8" t="str">
        <f t="shared" si="2"/>
        <v>STM32F469I-DISCO_BSP</v>
      </c>
      <c r="J96" s="2" t="s">
        <v>350</v>
      </c>
    </row>
    <row r="97" spans="1:10" x14ac:dyDescent="0.25">
      <c r="A97" t="s">
        <v>132</v>
      </c>
      <c r="B97" s="3">
        <v>46070.664548611108</v>
      </c>
      <c r="C97" t="s">
        <v>60</v>
      </c>
      <c r="D97" t="b">
        <v>0</v>
      </c>
      <c r="E97" s="4">
        <v>6</v>
      </c>
      <c r="F97" s="4">
        <v>20</v>
      </c>
      <c r="G97" s="4">
        <v>16</v>
      </c>
      <c r="H97" t="s">
        <v>61</v>
      </c>
      <c r="I97" s="5" t="str">
        <f t="shared" si="2"/>
        <v>STM32F429I-DISC1_BSP</v>
      </c>
      <c r="J97" t="s">
        <v>350</v>
      </c>
    </row>
    <row r="98" spans="1:10" x14ac:dyDescent="0.25">
      <c r="A98" s="2" t="s">
        <v>133</v>
      </c>
      <c r="B98" s="6">
        <v>46070.658680555563</v>
      </c>
      <c r="C98" s="2" t="s">
        <v>60</v>
      </c>
      <c r="D98" s="2" t="b">
        <v>0</v>
      </c>
      <c r="E98" s="7">
        <v>17</v>
      </c>
      <c r="F98" s="7">
        <v>20</v>
      </c>
      <c r="G98" s="7">
        <v>30</v>
      </c>
      <c r="H98" s="2" t="s">
        <v>61</v>
      </c>
      <c r="I98" s="8" t="str">
        <f t="shared" si="2"/>
        <v>STM32F407G-DISC1_BSP</v>
      </c>
      <c r="J98" s="2" t="s">
        <v>350</v>
      </c>
    </row>
    <row r="99" spans="1:10" x14ac:dyDescent="0.25">
      <c r="A99" t="s">
        <v>134</v>
      </c>
      <c r="B99" s="3">
        <v>46070.654398148137</v>
      </c>
      <c r="C99" t="s">
        <v>60</v>
      </c>
      <c r="D99" t="b">
        <v>0</v>
      </c>
      <c r="E99" s="4">
        <v>21</v>
      </c>
      <c r="F99" s="4">
        <v>60</v>
      </c>
      <c r="G99" s="4">
        <v>31</v>
      </c>
      <c r="H99" t="s">
        <v>61</v>
      </c>
      <c r="I99" s="5" t="str">
        <f t="shared" si="2"/>
        <v>STM32F3xx_DFP</v>
      </c>
      <c r="J99" t="s">
        <v>350</v>
      </c>
    </row>
    <row r="100" spans="1:10" x14ac:dyDescent="0.25">
      <c r="A100" s="2" t="s">
        <v>135</v>
      </c>
      <c r="B100" s="6">
        <v>46070.64702546296</v>
      </c>
      <c r="C100" s="2" t="s">
        <v>60</v>
      </c>
      <c r="D100" s="2" t="b">
        <v>0</v>
      </c>
      <c r="E100" s="7">
        <v>2</v>
      </c>
      <c r="F100" s="7">
        <v>19</v>
      </c>
      <c r="G100" s="7">
        <v>2</v>
      </c>
      <c r="H100" s="2" t="s">
        <v>61</v>
      </c>
      <c r="I100" s="8" t="str">
        <f t="shared" si="2"/>
        <v>STM32F3DISCOVERY_BSP</v>
      </c>
      <c r="J100" s="2" t="s">
        <v>350</v>
      </c>
    </row>
    <row r="101" spans="1:10" x14ac:dyDescent="0.25">
      <c r="A101" t="s">
        <v>136</v>
      </c>
      <c r="B101" s="3">
        <v>46070.639699074083</v>
      </c>
      <c r="C101" t="s">
        <v>60</v>
      </c>
      <c r="D101" t="b">
        <v>0</v>
      </c>
      <c r="E101" s="4">
        <v>0</v>
      </c>
      <c r="F101" s="4">
        <v>19</v>
      </c>
      <c r="G101" s="4">
        <v>0</v>
      </c>
      <c r="H101" t="s">
        <v>61</v>
      </c>
      <c r="I101" s="5" t="str">
        <f t="shared" si="2"/>
        <v>STM32F3348-DISCO_BSP</v>
      </c>
      <c r="J101" t="s">
        <v>350</v>
      </c>
    </row>
    <row r="102" spans="1:10" x14ac:dyDescent="0.25">
      <c r="A102" s="2" t="s">
        <v>137</v>
      </c>
      <c r="B102" s="6">
        <v>46070.632696759261</v>
      </c>
      <c r="C102" s="2" t="s">
        <v>60</v>
      </c>
      <c r="D102" s="2" t="b">
        <v>0</v>
      </c>
      <c r="E102" s="7">
        <v>23</v>
      </c>
      <c r="F102" s="7">
        <v>61</v>
      </c>
      <c r="G102" s="7">
        <v>40</v>
      </c>
      <c r="H102" s="2" t="s">
        <v>61</v>
      </c>
      <c r="I102" s="8" t="str">
        <f t="shared" si="2"/>
        <v>STM32F2xx_DFP</v>
      </c>
      <c r="J102" s="2" t="s">
        <v>350</v>
      </c>
    </row>
    <row r="103" spans="1:10" x14ac:dyDescent="0.25">
      <c r="A103" t="s">
        <v>138</v>
      </c>
      <c r="B103" s="3">
        <v>46070.628379629627</v>
      </c>
      <c r="C103" t="s">
        <v>60</v>
      </c>
      <c r="D103" t="b">
        <v>0</v>
      </c>
      <c r="E103" s="4">
        <v>74</v>
      </c>
      <c r="F103" s="4">
        <v>70</v>
      </c>
      <c r="G103" s="4">
        <v>142</v>
      </c>
      <c r="H103" t="s">
        <v>61</v>
      </c>
      <c r="I103" s="5" t="str">
        <f t="shared" si="2"/>
        <v>STM32F0xx_DFP</v>
      </c>
      <c r="J103" t="s">
        <v>350</v>
      </c>
    </row>
    <row r="104" spans="1:10" x14ac:dyDescent="0.25">
      <c r="A104" s="2" t="s">
        <v>139</v>
      </c>
      <c r="B104" s="6">
        <v>46070.623113425929</v>
      </c>
      <c r="C104" s="2" t="s">
        <v>60</v>
      </c>
      <c r="D104" s="2" t="b">
        <v>0</v>
      </c>
      <c r="E104" s="7">
        <v>0</v>
      </c>
      <c r="F104" s="7">
        <v>21</v>
      </c>
      <c r="G104" s="7">
        <v>0</v>
      </c>
      <c r="H104" s="2" t="s">
        <v>61</v>
      </c>
      <c r="I104" s="8" t="str">
        <f t="shared" si="2"/>
        <v>STM32F0DISCOVERY_BSP</v>
      </c>
      <c r="J104" s="2" t="s">
        <v>350</v>
      </c>
    </row>
    <row r="105" spans="1:10" x14ac:dyDescent="0.25">
      <c r="A105" t="s">
        <v>140</v>
      </c>
      <c r="B105" s="3">
        <v>46070.617523148147</v>
      </c>
      <c r="C105" t="s">
        <v>60</v>
      </c>
      <c r="D105" t="b">
        <v>0</v>
      </c>
      <c r="E105" s="4">
        <v>3</v>
      </c>
      <c r="F105" s="4">
        <v>20</v>
      </c>
      <c r="G105" s="4">
        <v>3</v>
      </c>
      <c r="H105" t="s">
        <v>61</v>
      </c>
      <c r="I105" s="5" t="str">
        <f t="shared" si="2"/>
        <v>STM32F072B-DISCO_BSP</v>
      </c>
      <c r="J105" t="s">
        <v>350</v>
      </c>
    </row>
    <row r="106" spans="1:10" x14ac:dyDescent="0.25">
      <c r="A106" s="2" t="s">
        <v>141</v>
      </c>
      <c r="B106" s="6">
        <v>46070.558703703697</v>
      </c>
      <c r="C106" s="2" t="s">
        <v>60</v>
      </c>
      <c r="D106" s="2" t="b">
        <v>0</v>
      </c>
      <c r="E106" s="7">
        <v>19</v>
      </c>
      <c r="F106" s="7">
        <v>63</v>
      </c>
      <c r="G106" s="7">
        <v>58</v>
      </c>
      <c r="H106" s="2" t="s">
        <v>61</v>
      </c>
      <c r="I106" s="8" t="str">
        <f t="shared" si="2"/>
        <v>STM32C0xx_DFP</v>
      </c>
      <c r="J106" s="2" t="s">
        <v>350</v>
      </c>
    </row>
    <row r="107" spans="1:10" x14ac:dyDescent="0.25">
      <c r="A107" t="s">
        <v>142</v>
      </c>
      <c r="B107" s="3">
        <v>46070.547222222223</v>
      </c>
      <c r="C107" t="s">
        <v>60</v>
      </c>
      <c r="D107" t="b">
        <v>0</v>
      </c>
      <c r="E107" s="4">
        <v>0</v>
      </c>
      <c r="F107" s="4">
        <v>21</v>
      </c>
      <c r="G107" s="4">
        <v>0</v>
      </c>
      <c r="H107" t="s">
        <v>61</v>
      </c>
      <c r="I107" s="5" t="str">
        <f t="shared" si="2"/>
        <v>STM32C0316-DK_BSP</v>
      </c>
      <c r="J107" t="s">
        <v>350</v>
      </c>
    </row>
    <row r="108" spans="1:10" x14ac:dyDescent="0.25">
      <c r="A108" s="2" t="s">
        <v>143</v>
      </c>
      <c r="B108" s="6">
        <v>46070.506180555552</v>
      </c>
      <c r="C108" s="2" t="s">
        <v>60</v>
      </c>
      <c r="D108" s="2" t="b">
        <v>0</v>
      </c>
      <c r="E108" s="7">
        <v>2</v>
      </c>
      <c r="F108" s="7">
        <v>21</v>
      </c>
      <c r="G108" s="7">
        <v>55</v>
      </c>
      <c r="H108" s="2" t="s">
        <v>61</v>
      </c>
      <c r="I108" s="8" t="str">
        <f t="shared" si="2"/>
        <v>STM32C0116-DK_BSP</v>
      </c>
      <c r="J108" s="2" t="s">
        <v>350</v>
      </c>
    </row>
    <row r="109" spans="1:10" x14ac:dyDescent="0.25">
      <c r="A109" t="s">
        <v>144</v>
      </c>
      <c r="B109" s="3">
        <v>46070.493726851862</v>
      </c>
      <c r="C109" t="s">
        <v>60</v>
      </c>
      <c r="D109" t="b">
        <v>0</v>
      </c>
      <c r="E109" s="4">
        <v>1</v>
      </c>
      <c r="F109" s="4">
        <v>20</v>
      </c>
      <c r="G109" s="4">
        <v>1</v>
      </c>
      <c r="H109" t="s">
        <v>61</v>
      </c>
      <c r="I109" s="5" t="str">
        <f t="shared" si="2"/>
        <v>STM32373C-EVAL_BSP</v>
      </c>
      <c r="J109" t="s">
        <v>350</v>
      </c>
    </row>
    <row r="110" spans="1:10" x14ac:dyDescent="0.25">
      <c r="A110" s="2" t="s">
        <v>145</v>
      </c>
      <c r="B110" s="6">
        <v>46070.44159722222</v>
      </c>
      <c r="C110" s="2" t="s">
        <v>60</v>
      </c>
      <c r="D110" s="2" t="b">
        <v>0</v>
      </c>
      <c r="E110" s="7">
        <v>1</v>
      </c>
      <c r="F110" s="7">
        <v>20</v>
      </c>
      <c r="G110" s="7">
        <v>1</v>
      </c>
      <c r="H110" s="2" t="s">
        <v>61</v>
      </c>
      <c r="I110" s="8" t="str">
        <f t="shared" si="2"/>
        <v>STM32303E-EVAL_BSP</v>
      </c>
      <c r="J110" s="2" t="s">
        <v>350</v>
      </c>
    </row>
    <row r="111" spans="1:10" x14ac:dyDescent="0.25">
      <c r="A111" t="s">
        <v>146</v>
      </c>
      <c r="B111" s="3">
        <v>46069.688310185193</v>
      </c>
      <c r="C111" t="s">
        <v>60</v>
      </c>
      <c r="D111" t="b">
        <v>0</v>
      </c>
      <c r="E111" s="4">
        <v>3</v>
      </c>
      <c r="F111" s="4">
        <v>21</v>
      </c>
      <c r="G111" s="4">
        <v>4</v>
      </c>
      <c r="H111" t="s">
        <v>61</v>
      </c>
      <c r="I111" s="5" t="str">
        <f t="shared" si="2"/>
        <v>ST_NUCLEO-WL55JC_BSP</v>
      </c>
      <c r="J111" t="s">
        <v>350</v>
      </c>
    </row>
    <row r="112" spans="1:10" x14ac:dyDescent="0.25">
      <c r="A112" s="2" t="s">
        <v>147</v>
      </c>
      <c r="B112" s="6">
        <v>46069.582199074073</v>
      </c>
      <c r="C112" s="2" t="s">
        <v>60</v>
      </c>
      <c r="D112" s="2" t="b">
        <v>0</v>
      </c>
      <c r="E112" s="7">
        <v>1</v>
      </c>
      <c r="F112" s="7">
        <v>20</v>
      </c>
      <c r="G112" s="7">
        <v>1</v>
      </c>
      <c r="H112" s="2" t="s">
        <v>61</v>
      </c>
      <c r="I112" s="8" t="str">
        <f t="shared" si="2"/>
        <v>ST_NUCLEO-WB55RG_BSP</v>
      </c>
      <c r="J112" s="2" t="s">
        <v>350</v>
      </c>
    </row>
    <row r="113" spans="1:10" x14ac:dyDescent="0.25">
      <c r="A113" t="s">
        <v>148</v>
      </c>
      <c r="B113" s="3">
        <v>46069.574918981481</v>
      </c>
      <c r="C113" t="s">
        <v>60</v>
      </c>
      <c r="D113" t="b">
        <v>0</v>
      </c>
      <c r="E113" s="4">
        <v>3</v>
      </c>
      <c r="F113" s="4">
        <v>22</v>
      </c>
      <c r="G113" s="4">
        <v>9</v>
      </c>
      <c r="H113" t="s">
        <v>61</v>
      </c>
      <c r="I113" s="5" t="str">
        <f t="shared" si="2"/>
        <v>ST_NUCLEO-L053R8_BSP</v>
      </c>
      <c r="J113" t="s">
        <v>350</v>
      </c>
    </row>
    <row r="114" spans="1:10" x14ac:dyDescent="0.25">
      <c r="A114" s="2" t="s">
        <v>149</v>
      </c>
      <c r="B114" s="6">
        <v>46048.383726851847</v>
      </c>
      <c r="C114" s="2" t="s">
        <v>60</v>
      </c>
      <c r="D114" s="2" t="b">
        <v>0</v>
      </c>
      <c r="E114" s="7"/>
      <c r="F114" s="7"/>
      <c r="G114" s="7"/>
      <c r="H114" s="2" t="s">
        <v>63</v>
      </c>
      <c r="I114" s="8" t="str">
        <f t="shared" si="2"/>
        <v>csolution-templates</v>
      </c>
      <c r="J114" s="2" t="s">
        <v>352</v>
      </c>
    </row>
    <row r="115" spans="1:10" x14ac:dyDescent="0.25">
      <c r="A115" t="s">
        <v>150</v>
      </c>
      <c r="B115" s="3">
        <v>46044.257847222223</v>
      </c>
      <c r="C115" t="s">
        <v>60</v>
      </c>
      <c r="D115" t="b">
        <v>0</v>
      </c>
      <c r="E115" s="4">
        <v>0</v>
      </c>
      <c r="F115" s="4">
        <v>23</v>
      </c>
      <c r="G115" s="4">
        <v>0</v>
      </c>
      <c r="H115" t="s">
        <v>61</v>
      </c>
      <c r="I115" s="5" t="str">
        <f t="shared" si="2"/>
        <v>ST_NUCLEO-L152RE_BSP</v>
      </c>
      <c r="J115" t="s">
        <v>350</v>
      </c>
    </row>
    <row r="116" spans="1:10" x14ac:dyDescent="0.25">
      <c r="A116" s="2" t="s">
        <v>151</v>
      </c>
      <c r="B116" s="6">
        <v>46043.286828703713</v>
      </c>
      <c r="C116" s="2" t="s">
        <v>60</v>
      </c>
      <c r="D116" s="2" t="b">
        <v>0</v>
      </c>
      <c r="E116" s="7">
        <v>7</v>
      </c>
      <c r="F116" s="7">
        <v>19</v>
      </c>
      <c r="G116" s="7">
        <v>16</v>
      </c>
      <c r="H116" s="2" t="s">
        <v>61</v>
      </c>
      <c r="I116" s="8" t="str">
        <f t="shared" si="2"/>
        <v>ST_NUCLEO-F429ZI_BSP</v>
      </c>
      <c r="J116" s="2" t="s">
        <v>350</v>
      </c>
    </row>
    <row r="117" spans="1:10" x14ac:dyDescent="0.25">
      <c r="A117" t="s">
        <v>152</v>
      </c>
      <c r="B117" s="3">
        <v>46041.637488425928</v>
      </c>
      <c r="C117" t="s">
        <v>60</v>
      </c>
      <c r="D117" t="b">
        <v>0</v>
      </c>
      <c r="E117" s="4"/>
      <c r="F117" s="4"/>
      <c r="G117" s="4"/>
      <c r="H117" t="s">
        <v>63</v>
      </c>
      <c r="I117" s="5" t="str">
        <f t="shared" si="2"/>
        <v>Zephyr-Alif</v>
      </c>
      <c r="J117" t="s">
        <v>352</v>
      </c>
    </row>
    <row r="118" spans="1:10" x14ac:dyDescent="0.25">
      <c r="A118" s="2" t="s">
        <v>153</v>
      </c>
      <c r="B118" s="6">
        <v>46038.694479166668</v>
      </c>
      <c r="C118" s="2" t="s">
        <v>60</v>
      </c>
      <c r="D118" s="2" t="b">
        <v>0</v>
      </c>
      <c r="E118" s="7">
        <v>4</v>
      </c>
      <c r="F118" s="7">
        <v>19</v>
      </c>
      <c r="G118" s="7">
        <v>8</v>
      </c>
      <c r="H118" s="2" t="s">
        <v>61</v>
      </c>
      <c r="I118" s="8" t="str">
        <f t="shared" si="2"/>
        <v>ST_NUCLEO-F412ZG_BSP</v>
      </c>
      <c r="J118" s="2" t="s">
        <v>350</v>
      </c>
    </row>
    <row r="119" spans="1:10" x14ac:dyDescent="0.25">
      <c r="A119" t="s">
        <v>154</v>
      </c>
      <c r="B119" s="3">
        <v>46038.663043981483</v>
      </c>
      <c r="C119" t="s">
        <v>60</v>
      </c>
      <c r="D119" t="b">
        <v>0</v>
      </c>
      <c r="E119" s="4"/>
      <c r="F119" s="4"/>
      <c r="G119" s="4"/>
      <c r="H119" t="s">
        <v>63</v>
      </c>
      <c r="I119" s="5" t="str">
        <f t="shared" si="2"/>
        <v>Zephyr-ST</v>
      </c>
      <c r="J119" t="s">
        <v>352</v>
      </c>
    </row>
    <row r="120" spans="1:10" x14ac:dyDescent="0.25">
      <c r="A120" s="2" t="s">
        <v>155</v>
      </c>
      <c r="B120" s="6">
        <v>46037.367881944447</v>
      </c>
      <c r="C120" s="2" t="s">
        <v>60</v>
      </c>
      <c r="D120" s="2" t="b">
        <v>0</v>
      </c>
      <c r="E120" s="7">
        <v>7</v>
      </c>
      <c r="F120" s="7">
        <v>19</v>
      </c>
      <c r="G120" s="7">
        <v>21</v>
      </c>
      <c r="H120" s="2" t="s">
        <v>61</v>
      </c>
      <c r="I120" s="8" t="str">
        <f t="shared" si="2"/>
        <v>ST_NUCLEO-F401RE_BSP</v>
      </c>
      <c r="J120" s="2" t="s">
        <v>350</v>
      </c>
    </row>
    <row r="121" spans="1:10" x14ac:dyDescent="0.25">
      <c r="A121" t="s">
        <v>156</v>
      </c>
      <c r="B121" s="3">
        <v>46037.257152777784</v>
      </c>
      <c r="C121" t="s">
        <v>60</v>
      </c>
      <c r="D121" t="b">
        <v>0</v>
      </c>
      <c r="E121" s="4">
        <v>1</v>
      </c>
      <c r="F121" s="4">
        <v>19</v>
      </c>
      <c r="G121" s="4">
        <v>1</v>
      </c>
      <c r="H121" t="s">
        <v>61</v>
      </c>
      <c r="I121" s="5" t="str">
        <f t="shared" si="2"/>
        <v>ST_NUCLEO-F091RC_BSP</v>
      </c>
      <c r="J121" t="s">
        <v>350</v>
      </c>
    </row>
    <row r="122" spans="1:10" x14ac:dyDescent="0.25">
      <c r="A122" s="2" t="s">
        <v>157</v>
      </c>
      <c r="B122" s="6">
        <v>46037.25681712963</v>
      </c>
      <c r="C122" s="2" t="s">
        <v>60</v>
      </c>
      <c r="D122" s="2" t="b">
        <v>0</v>
      </c>
      <c r="E122" s="7">
        <v>4</v>
      </c>
      <c r="F122" s="7">
        <v>20</v>
      </c>
      <c r="G122" s="7">
        <v>4</v>
      </c>
      <c r="H122" s="2" t="s">
        <v>61</v>
      </c>
      <c r="I122" s="8" t="str">
        <f t="shared" si="2"/>
        <v>ST_NUCLEO-F030R8_BSP</v>
      </c>
      <c r="J122" s="2" t="s">
        <v>350</v>
      </c>
    </row>
    <row r="123" spans="1:10" x14ac:dyDescent="0.25">
      <c r="A123" t="s">
        <v>158</v>
      </c>
      <c r="B123" s="3">
        <v>46036.606238425928</v>
      </c>
      <c r="C123" t="s">
        <v>60</v>
      </c>
      <c r="D123" t="b">
        <v>0</v>
      </c>
      <c r="E123" s="4">
        <v>7</v>
      </c>
      <c r="F123" s="4">
        <v>21</v>
      </c>
      <c r="G123" s="4">
        <v>8</v>
      </c>
      <c r="H123" t="s">
        <v>61</v>
      </c>
      <c r="I123" s="5" t="str">
        <f t="shared" ref="I123:I145" si="3">HYPERLINK("https://github.com/" &amp; "open-cmsis-pack" &amp; "/" &amp; A123, A123)</f>
        <v>ST_NUCLEO-H743ZI2_BSP</v>
      </c>
      <c r="J123" t="s">
        <v>350</v>
      </c>
    </row>
    <row r="124" spans="1:10" x14ac:dyDescent="0.25">
      <c r="A124" s="2" t="s">
        <v>159</v>
      </c>
      <c r="B124" s="6">
        <v>46036.579444444447</v>
      </c>
      <c r="C124" s="2" t="s">
        <v>60</v>
      </c>
      <c r="D124" s="2" t="b">
        <v>0</v>
      </c>
      <c r="E124" s="7">
        <v>0</v>
      </c>
      <c r="F124" s="7">
        <v>16</v>
      </c>
      <c r="G124" s="7">
        <v>0</v>
      </c>
      <c r="H124" s="2" t="s">
        <v>61</v>
      </c>
      <c r="I124" s="8" t="str">
        <f t="shared" si="3"/>
        <v>ST_NUCLEO-F746ZG_BSP</v>
      </c>
      <c r="J124" s="2" t="s">
        <v>350</v>
      </c>
    </row>
    <row r="125" spans="1:10" x14ac:dyDescent="0.25">
      <c r="A125" t="s">
        <v>160</v>
      </c>
      <c r="B125" s="3">
        <v>46000.57476851852</v>
      </c>
      <c r="C125" t="s">
        <v>60</v>
      </c>
      <c r="D125" t="b">
        <v>0</v>
      </c>
      <c r="E125" s="4">
        <v>3</v>
      </c>
      <c r="F125" s="4">
        <v>19</v>
      </c>
      <c r="G125" s="4">
        <v>15</v>
      </c>
      <c r="H125" t="s">
        <v>61</v>
      </c>
      <c r="I125" s="5" t="str">
        <f t="shared" si="3"/>
        <v>ST_NUCLEO-H563ZI_BSP</v>
      </c>
      <c r="J125" t="s">
        <v>350</v>
      </c>
    </row>
    <row r="126" spans="1:10" x14ac:dyDescent="0.25">
      <c r="A126" s="2" t="s">
        <v>161</v>
      </c>
      <c r="B126" s="6">
        <v>46000.573414351849</v>
      </c>
      <c r="C126" s="2" t="s">
        <v>60</v>
      </c>
      <c r="D126" s="2" t="b">
        <v>0</v>
      </c>
      <c r="E126" s="7">
        <v>4</v>
      </c>
      <c r="F126" s="7">
        <v>20</v>
      </c>
      <c r="G126" s="7">
        <v>8</v>
      </c>
      <c r="H126" s="2" t="s">
        <v>61</v>
      </c>
      <c r="I126" s="8" t="str">
        <f t="shared" si="3"/>
        <v>ST_NUCLEO-G474RE_BSP</v>
      </c>
      <c r="J126" s="2" t="s">
        <v>350</v>
      </c>
    </row>
    <row r="127" spans="1:10" x14ac:dyDescent="0.25">
      <c r="A127" t="s">
        <v>162</v>
      </c>
      <c r="B127" s="3">
        <v>46000.57309027778</v>
      </c>
      <c r="C127" t="s">
        <v>60</v>
      </c>
      <c r="D127" t="b">
        <v>0</v>
      </c>
      <c r="E127" s="4">
        <v>4</v>
      </c>
      <c r="F127" s="4">
        <v>18</v>
      </c>
      <c r="G127" s="4">
        <v>24</v>
      </c>
      <c r="H127" t="s">
        <v>61</v>
      </c>
      <c r="I127" s="5" t="str">
        <f t="shared" si="3"/>
        <v>ST_NUCLEO-G0B1RE_BSP</v>
      </c>
      <c r="J127" t="s">
        <v>350</v>
      </c>
    </row>
    <row r="128" spans="1:10" x14ac:dyDescent="0.25">
      <c r="A128" s="2" t="s">
        <v>163</v>
      </c>
      <c r="B128" s="6">
        <v>46000.57240740741</v>
      </c>
      <c r="C128" s="2" t="s">
        <v>60</v>
      </c>
      <c r="D128" s="2" t="b">
        <v>0</v>
      </c>
      <c r="E128" s="7">
        <v>1</v>
      </c>
      <c r="F128" s="7">
        <v>19</v>
      </c>
      <c r="G128" s="7">
        <v>1</v>
      </c>
      <c r="H128" s="2" t="s">
        <v>61</v>
      </c>
      <c r="I128" s="8" t="str">
        <f t="shared" si="3"/>
        <v>ST_NUCLEO-F756ZG_BSP</v>
      </c>
      <c r="J128" s="2" t="s">
        <v>350</v>
      </c>
    </row>
    <row r="129" spans="1:10" x14ac:dyDescent="0.25">
      <c r="A129" t="s">
        <v>164</v>
      </c>
      <c r="B129" s="3">
        <v>46000.56690972222</v>
      </c>
      <c r="C129" t="s">
        <v>60</v>
      </c>
      <c r="D129" t="b">
        <v>0</v>
      </c>
      <c r="E129" s="4">
        <v>13</v>
      </c>
      <c r="F129" s="4">
        <v>21</v>
      </c>
      <c r="G129" s="4">
        <v>45</v>
      </c>
      <c r="H129" t="s">
        <v>61</v>
      </c>
      <c r="I129" s="5" t="str">
        <f t="shared" si="3"/>
        <v>ST_NUCLEO-F446RE_BSP</v>
      </c>
      <c r="J129" t="s">
        <v>350</v>
      </c>
    </row>
    <row r="130" spans="1:10" x14ac:dyDescent="0.25">
      <c r="A130" s="2" t="s">
        <v>165</v>
      </c>
      <c r="B130" s="6">
        <v>45999.520370370366</v>
      </c>
      <c r="C130" s="2" t="s">
        <v>60</v>
      </c>
      <c r="D130" s="2" t="b">
        <v>0</v>
      </c>
      <c r="E130" s="7">
        <v>2</v>
      </c>
      <c r="F130" s="7">
        <v>18</v>
      </c>
      <c r="G130" s="7">
        <v>3</v>
      </c>
      <c r="H130" s="2" t="s">
        <v>61</v>
      </c>
      <c r="I130" s="8" t="str">
        <f t="shared" si="3"/>
        <v>ST_NUCLEO-F072RB_BSP</v>
      </c>
      <c r="J130" s="2" t="s">
        <v>350</v>
      </c>
    </row>
    <row r="131" spans="1:10" x14ac:dyDescent="0.25">
      <c r="A131" t="s">
        <v>166</v>
      </c>
      <c r="B131" s="3">
        <v>45996.621527777781</v>
      </c>
      <c r="C131" t="s">
        <v>60</v>
      </c>
      <c r="D131" t="b">
        <v>0</v>
      </c>
      <c r="E131" s="4">
        <v>1</v>
      </c>
      <c r="F131" s="4">
        <v>19</v>
      </c>
      <c r="G131" s="4">
        <v>8</v>
      </c>
      <c r="H131" t="s">
        <v>61</v>
      </c>
      <c r="I131" s="5" t="str">
        <f t="shared" si="3"/>
        <v>ST_B-U585I-IOT02A_BSP</v>
      </c>
      <c r="J131" t="s">
        <v>350</v>
      </c>
    </row>
    <row r="132" spans="1:10" x14ac:dyDescent="0.25">
      <c r="A132" s="2" t="s">
        <v>167</v>
      </c>
      <c r="B132" s="6">
        <v>45996.612129629633</v>
      </c>
      <c r="C132" s="2" t="s">
        <v>60</v>
      </c>
      <c r="D132" s="2" t="b">
        <v>0</v>
      </c>
      <c r="E132" s="7">
        <v>2</v>
      </c>
      <c r="F132" s="7">
        <v>20</v>
      </c>
      <c r="G132" s="7">
        <v>5</v>
      </c>
      <c r="H132" s="2" t="s">
        <v>61</v>
      </c>
      <c r="I132" s="8" t="str">
        <f t="shared" si="3"/>
        <v>ST_B-L475E-IOT01A_BSP</v>
      </c>
      <c r="J132" s="2" t="s">
        <v>350</v>
      </c>
    </row>
    <row r="133" spans="1:10" x14ac:dyDescent="0.25">
      <c r="A133" t="s">
        <v>168</v>
      </c>
      <c r="B133" s="3">
        <v>45996.609502314823</v>
      </c>
      <c r="C133" t="s">
        <v>60</v>
      </c>
      <c r="D133" t="b">
        <v>0</v>
      </c>
      <c r="E133" s="4">
        <v>0</v>
      </c>
      <c r="F133" s="4">
        <v>20</v>
      </c>
      <c r="G133" s="4">
        <v>0</v>
      </c>
      <c r="H133" t="s">
        <v>61</v>
      </c>
      <c r="I133" s="5" t="str">
        <f t="shared" si="3"/>
        <v>ST_B-L462E-CELL1_BSP</v>
      </c>
      <c r="J133" t="s">
        <v>350</v>
      </c>
    </row>
    <row r="134" spans="1:10" x14ac:dyDescent="0.25">
      <c r="A134" s="2" t="s">
        <v>169</v>
      </c>
      <c r="B134" s="6">
        <v>45996.606504629628</v>
      </c>
      <c r="C134" s="2" t="s">
        <v>60</v>
      </c>
      <c r="D134" s="2" t="b">
        <v>0</v>
      </c>
      <c r="E134" s="7">
        <v>2</v>
      </c>
      <c r="F134" s="7">
        <v>20</v>
      </c>
      <c r="G134" s="7">
        <v>7</v>
      </c>
      <c r="H134" s="2" t="s">
        <v>61</v>
      </c>
      <c r="I134" s="8" t="str">
        <f t="shared" si="3"/>
        <v>Sensor-SDK-Example</v>
      </c>
      <c r="J134" s="2" t="s">
        <v>350</v>
      </c>
    </row>
    <row r="135" spans="1:10" x14ac:dyDescent="0.25">
      <c r="A135" t="s">
        <v>170</v>
      </c>
      <c r="B135" s="3">
        <v>45989.391770833332</v>
      </c>
      <c r="C135" t="s">
        <v>60</v>
      </c>
      <c r="D135" t="b">
        <v>0</v>
      </c>
      <c r="E135" s="4"/>
      <c r="F135" s="4"/>
      <c r="G135" s="4"/>
      <c r="H135" t="s">
        <v>63</v>
      </c>
      <c r="I135" s="5" t="str">
        <f t="shared" si="3"/>
        <v>lwIP</v>
      </c>
      <c r="J135" t="s">
        <v>352</v>
      </c>
    </row>
    <row r="136" spans="1:10" x14ac:dyDescent="0.25">
      <c r="A136" s="2" t="s">
        <v>171</v>
      </c>
      <c r="B136" s="6">
        <v>45954.277731481481</v>
      </c>
      <c r="C136" s="2" t="s">
        <v>60</v>
      </c>
      <c r="D136" s="2" t="b">
        <v>0</v>
      </c>
      <c r="E136" s="7"/>
      <c r="F136" s="7"/>
      <c r="G136" s="7"/>
      <c r="H136" s="2" t="s">
        <v>63</v>
      </c>
      <c r="I136" s="8" t="str">
        <f t="shared" si="3"/>
        <v>BSP-Pack-HandsOn</v>
      </c>
      <c r="J136" s="2" t="s">
        <v>352</v>
      </c>
    </row>
    <row r="137" spans="1:10" x14ac:dyDescent="0.25">
      <c r="A137" t="s">
        <v>172</v>
      </c>
      <c r="B137" s="3">
        <v>45946.548391203702</v>
      </c>
      <c r="C137" t="s">
        <v>60</v>
      </c>
      <c r="D137" t="b">
        <v>0</v>
      </c>
      <c r="E137" s="4"/>
      <c r="F137" s="4"/>
      <c r="G137" s="4"/>
      <c r="H137" t="s">
        <v>63</v>
      </c>
      <c r="I137" s="5" t="str">
        <f t="shared" si="3"/>
        <v>GSP-Pack-HandsOn</v>
      </c>
      <c r="J137" t="s">
        <v>352</v>
      </c>
    </row>
    <row r="138" spans="1:10" x14ac:dyDescent="0.25">
      <c r="A138" s="2" t="s">
        <v>173</v>
      </c>
      <c r="B138" s="6">
        <v>45946.546597222223</v>
      </c>
      <c r="C138" s="2" t="s">
        <v>60</v>
      </c>
      <c r="D138" s="2" t="b">
        <v>0</v>
      </c>
      <c r="E138" s="7"/>
      <c r="F138" s="7"/>
      <c r="G138" s="7"/>
      <c r="H138" s="2" t="s">
        <v>63</v>
      </c>
      <c r="I138" s="8" t="str">
        <f t="shared" si="3"/>
        <v>DFP-Pack-HandsOn</v>
      </c>
      <c r="J138" s="2" t="s">
        <v>352</v>
      </c>
    </row>
    <row r="139" spans="1:10" x14ac:dyDescent="0.25">
      <c r="A139" t="s">
        <v>174</v>
      </c>
      <c r="B139" s="3">
        <v>45917.326828703714</v>
      </c>
      <c r="C139" t="s">
        <v>60</v>
      </c>
      <c r="D139" t="b">
        <v>0</v>
      </c>
      <c r="E139" s="4">
        <v>1</v>
      </c>
      <c r="F139" s="4">
        <v>19</v>
      </c>
      <c r="G139" s="4">
        <v>1</v>
      </c>
      <c r="H139" t="s">
        <v>61</v>
      </c>
      <c r="I139" s="5" t="str">
        <f t="shared" si="3"/>
        <v>ST_NUCLEO-L552ZE-Q_BSP</v>
      </c>
      <c r="J139" t="s">
        <v>350</v>
      </c>
    </row>
    <row r="140" spans="1:10" x14ac:dyDescent="0.25">
      <c r="A140" s="2" t="s">
        <v>175</v>
      </c>
      <c r="B140" s="6">
        <v>45910.357060185182</v>
      </c>
      <c r="C140" s="2" t="s">
        <v>60</v>
      </c>
      <c r="D140" s="2" t="b">
        <v>0</v>
      </c>
      <c r="E140" s="7">
        <v>0</v>
      </c>
      <c r="F140" s="7">
        <v>20</v>
      </c>
      <c r="G140" s="7">
        <v>0</v>
      </c>
      <c r="H140" s="2" t="s">
        <v>61</v>
      </c>
      <c r="I140" s="8" t="str">
        <f t="shared" si="3"/>
        <v>STM32L0538-DISCO_BSP</v>
      </c>
      <c r="J140" s="2" t="s">
        <v>350</v>
      </c>
    </row>
    <row r="141" spans="1:10" x14ac:dyDescent="0.25">
      <c r="A141" t="s">
        <v>176</v>
      </c>
      <c r="B141" s="3">
        <v>45910.356840277767</v>
      </c>
      <c r="C141" t="s">
        <v>60</v>
      </c>
      <c r="D141" t="b">
        <v>0</v>
      </c>
      <c r="E141" s="4">
        <v>0</v>
      </c>
      <c r="F141" s="4">
        <v>17</v>
      </c>
      <c r="G141" s="4">
        <v>0</v>
      </c>
      <c r="H141" t="s">
        <v>61</v>
      </c>
      <c r="I141" s="5" t="str">
        <f t="shared" si="3"/>
        <v>STM32L073Z-EVAL_BSP</v>
      </c>
      <c r="J141" t="s">
        <v>350</v>
      </c>
    </row>
    <row r="142" spans="1:10" x14ac:dyDescent="0.25">
      <c r="A142" s="2" t="s">
        <v>177</v>
      </c>
      <c r="B142" s="6">
        <v>45887.482546296298</v>
      </c>
      <c r="C142" s="2" t="s">
        <v>60</v>
      </c>
      <c r="D142" s="2" t="b">
        <v>0</v>
      </c>
      <c r="E142" s="7">
        <v>3</v>
      </c>
      <c r="F142" s="7">
        <v>18</v>
      </c>
      <c r="G142" s="7">
        <v>15</v>
      </c>
      <c r="H142" s="2" t="s">
        <v>61</v>
      </c>
      <c r="I142" s="8" t="str">
        <f t="shared" si="3"/>
        <v>ST_NUCLEO-L476RG_BSP</v>
      </c>
      <c r="J142" s="2" t="s">
        <v>350</v>
      </c>
    </row>
    <row r="143" spans="1:10" x14ac:dyDescent="0.25">
      <c r="A143" t="s">
        <v>178</v>
      </c>
      <c r="B143" s="3">
        <v>45621.567777777767</v>
      </c>
      <c r="C143" t="s">
        <v>60</v>
      </c>
      <c r="D143" t="b">
        <v>0</v>
      </c>
      <c r="E143" s="4"/>
      <c r="F143" s="4"/>
      <c r="G143" s="4"/>
      <c r="H143" t="s">
        <v>63</v>
      </c>
      <c r="I143" s="5" t="str">
        <f t="shared" si="3"/>
        <v>RefApp-Framework</v>
      </c>
      <c r="J143" t="s">
        <v>351</v>
      </c>
    </row>
    <row r="144" spans="1:10" x14ac:dyDescent="0.25">
      <c r="A144" s="2" t="s">
        <v>179</v>
      </c>
      <c r="B144" s="6">
        <v>45454.524548611109</v>
      </c>
      <c r="C144" s="2" t="s">
        <v>60</v>
      </c>
      <c r="D144" s="2" t="b">
        <v>0</v>
      </c>
      <c r="E144" s="7"/>
      <c r="F144" s="7"/>
      <c r="G144" s="7"/>
      <c r="H144" s="2" t="s">
        <v>63</v>
      </c>
      <c r="I144" s="8" t="str">
        <f t="shared" si="3"/>
        <v>Open-CMSIS-Pack-Taxonomy</v>
      </c>
      <c r="J144" s="2" t="s">
        <v>351</v>
      </c>
    </row>
    <row r="145" spans="1:10" x14ac:dyDescent="0.25">
      <c r="A145" t="s">
        <v>180</v>
      </c>
      <c r="B145" s="3">
        <v>45454.465138888889</v>
      </c>
      <c r="C145" t="s">
        <v>60</v>
      </c>
      <c r="D145" t="b">
        <v>0</v>
      </c>
      <c r="E145" s="4">
        <v>1</v>
      </c>
      <c r="F145" s="4">
        <v>19</v>
      </c>
      <c r="G145" s="4">
        <v>4</v>
      </c>
      <c r="H145" t="s">
        <v>61</v>
      </c>
      <c r="I145" s="5" t="str">
        <f t="shared" si="3"/>
        <v>Create-Scalable-SW</v>
      </c>
      <c r="J145" t="s">
        <v>351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8"/>
  <sheetViews>
    <sheetView topLeftCell="A78" zoomScale="70" zoomScaleNormal="70" workbookViewId="0">
      <selection activeCell="W70" sqref="W70"/>
    </sheetView>
  </sheetViews>
  <sheetFormatPr defaultRowHeight="15" x14ac:dyDescent="0.25"/>
  <cols>
    <col min="1" max="1" width="40" customWidth="1"/>
    <col min="2" max="2" width="120" customWidth="1"/>
    <col min="3" max="4" width="13" customWidth="1"/>
    <col min="5" max="6" width="21" customWidth="1"/>
    <col min="7" max="7" width="18" customWidth="1"/>
    <col min="8" max="8" width="50" customWidth="1"/>
    <col min="9" max="9" width="60" customWidth="1"/>
    <col min="10" max="10" width="2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25">
      <c r="A3" t="s">
        <v>11</v>
      </c>
      <c r="B3" t="s">
        <v>12</v>
      </c>
    </row>
    <row r="4" spans="1:10" x14ac:dyDescent="0.25">
      <c r="A4" s="2" t="s">
        <v>13</v>
      </c>
      <c r="B4" s="2" t="s">
        <v>14</v>
      </c>
      <c r="C4" s="2"/>
      <c r="D4" s="2"/>
      <c r="E4" s="2"/>
      <c r="F4" s="2"/>
      <c r="G4" s="2"/>
      <c r="H4" s="2"/>
      <c r="I4" s="2"/>
      <c r="J4" s="2"/>
    </row>
    <row r="5" spans="1:10" x14ac:dyDescent="0.25">
      <c r="A5" t="s">
        <v>15</v>
      </c>
      <c r="B5" t="s">
        <v>16</v>
      </c>
    </row>
    <row r="6" spans="1:10" x14ac:dyDescent="0.25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x14ac:dyDescent="0.25">
      <c r="A7" t="s">
        <v>17</v>
      </c>
    </row>
    <row r="8" spans="1:10" x14ac:dyDescent="0.25">
      <c r="A8" s="2" t="s">
        <v>18</v>
      </c>
      <c r="B8" s="2" t="s">
        <v>19</v>
      </c>
      <c r="C8" s="2"/>
      <c r="D8" s="2"/>
      <c r="E8" s="2"/>
      <c r="F8" s="2"/>
      <c r="G8" s="2"/>
      <c r="H8" s="2"/>
      <c r="I8" s="2"/>
      <c r="J8" s="2"/>
    </row>
    <row r="9" spans="1:10" x14ac:dyDescent="0.25">
      <c r="A9" t="s">
        <v>20</v>
      </c>
      <c r="B9" t="s">
        <v>21</v>
      </c>
    </row>
    <row r="10" spans="1:10" x14ac:dyDescent="0.25">
      <c r="A10" s="2" t="s">
        <v>22</v>
      </c>
      <c r="B10" s="2" t="s">
        <v>23</v>
      </c>
      <c r="C10" s="2"/>
      <c r="D10" s="2"/>
      <c r="E10" s="2"/>
      <c r="F10" s="2"/>
      <c r="G10" s="2"/>
      <c r="H10" s="2"/>
      <c r="I10" s="2"/>
      <c r="J10" s="2"/>
    </row>
    <row r="11" spans="1:10" x14ac:dyDescent="0.25">
      <c r="A11" t="s">
        <v>24</v>
      </c>
      <c r="B11" t="s">
        <v>25</v>
      </c>
    </row>
    <row r="12" spans="1:10" x14ac:dyDescent="0.25">
      <c r="A12" s="2" t="s">
        <v>26</v>
      </c>
      <c r="B12" s="2" t="s">
        <v>181</v>
      </c>
      <c r="C12" s="2"/>
      <c r="D12" s="2"/>
      <c r="E12" s="2"/>
      <c r="F12" s="2"/>
      <c r="G12" s="2"/>
      <c r="H12" s="2"/>
      <c r="I12" s="2"/>
      <c r="J12" s="2"/>
    </row>
    <row r="13" spans="1:10" x14ac:dyDescent="0.25">
      <c r="A13" t="s">
        <v>30</v>
      </c>
      <c r="B13" t="s">
        <v>31</v>
      </c>
    </row>
    <row r="14" spans="1:10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25">
      <c r="A15" t="s">
        <v>32</v>
      </c>
    </row>
    <row r="16" spans="1:10" x14ac:dyDescent="0.25">
      <c r="A16" s="2" t="s">
        <v>33</v>
      </c>
      <c r="B16" s="2" t="s">
        <v>34</v>
      </c>
      <c r="C16" s="2"/>
      <c r="D16" s="2"/>
      <c r="E16" s="2"/>
      <c r="F16" s="2"/>
      <c r="G16" s="2"/>
      <c r="H16" s="2"/>
      <c r="I16" s="2"/>
      <c r="J16" s="2"/>
    </row>
    <row r="17" spans="1:10" x14ac:dyDescent="0.25">
      <c r="A17" t="s">
        <v>35</v>
      </c>
      <c r="B17" t="s">
        <v>36</v>
      </c>
    </row>
    <row r="18" spans="1:10" x14ac:dyDescent="0.25">
      <c r="A18" s="2" t="s">
        <v>37</v>
      </c>
      <c r="B18" s="2" t="s">
        <v>38</v>
      </c>
      <c r="C18" s="2"/>
      <c r="D18" s="2"/>
      <c r="E18" s="2"/>
      <c r="F18" s="2"/>
      <c r="G18" s="2"/>
      <c r="H18" s="2"/>
      <c r="I18" s="2"/>
      <c r="J18" s="2"/>
    </row>
    <row r="19" spans="1:10" x14ac:dyDescent="0.25">
      <c r="A19" t="s">
        <v>39</v>
      </c>
      <c r="B19" t="s">
        <v>40</v>
      </c>
    </row>
    <row r="20" spans="1:10" x14ac:dyDescent="0.25">
      <c r="A20" s="2" t="s">
        <v>41</v>
      </c>
      <c r="B20" s="2" t="s">
        <v>42</v>
      </c>
      <c r="C20" s="2"/>
      <c r="D20" s="2"/>
      <c r="E20" s="2"/>
      <c r="F20" s="2"/>
      <c r="G20" s="2"/>
      <c r="H20" s="2"/>
      <c r="I20" s="2"/>
      <c r="J20" s="2"/>
    </row>
    <row r="21" spans="1:10" x14ac:dyDescent="0.25">
      <c r="A21" t="s">
        <v>43</v>
      </c>
      <c r="B21" t="s">
        <v>44</v>
      </c>
    </row>
    <row r="22" spans="1:10" x14ac:dyDescent="0.25">
      <c r="A22" s="2" t="s">
        <v>45</v>
      </c>
      <c r="B22" s="2" t="s">
        <v>46</v>
      </c>
      <c r="C22" s="2"/>
      <c r="D22" s="2"/>
      <c r="E22" s="2"/>
      <c r="F22" s="2"/>
      <c r="G22" s="2"/>
      <c r="H22" s="2"/>
      <c r="I22" s="2"/>
      <c r="J22" s="2"/>
    </row>
    <row r="23" spans="1:10" x14ac:dyDescent="0.25">
      <c r="A23" t="s">
        <v>47</v>
      </c>
      <c r="B23" t="s">
        <v>48</v>
      </c>
    </row>
    <row r="24" spans="1:10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25">
      <c r="A25" t="s">
        <v>49</v>
      </c>
      <c r="B25" t="s">
        <v>50</v>
      </c>
      <c r="C25" t="s">
        <v>51</v>
      </c>
      <c r="D25" t="s">
        <v>52</v>
      </c>
      <c r="E25" t="s">
        <v>53</v>
      </c>
      <c r="F25" t="s">
        <v>54</v>
      </c>
      <c r="G25" t="s">
        <v>55</v>
      </c>
      <c r="H25" t="s">
        <v>56</v>
      </c>
      <c r="I25" t="s">
        <v>57</v>
      </c>
      <c r="J25" t="s">
        <v>58</v>
      </c>
    </row>
    <row r="26" spans="1:10" x14ac:dyDescent="0.25">
      <c r="A26" s="2" t="s">
        <v>182</v>
      </c>
      <c r="B26" s="6">
        <v>46199.360902777778</v>
      </c>
      <c r="C26" s="2" t="s">
        <v>60</v>
      </c>
      <c r="D26" s="2" t="b">
        <v>0</v>
      </c>
      <c r="E26" s="7">
        <v>13</v>
      </c>
      <c r="F26" s="7">
        <v>96</v>
      </c>
      <c r="G26" s="7">
        <v>63</v>
      </c>
      <c r="H26" s="2" t="s">
        <v>61</v>
      </c>
      <c r="I26" s="8" t="str">
        <f t="shared" ref="I26:I57" si="0">HYPERLINK("https://github.com/" &amp; "arm-examples" &amp; "/" &amp; A26, A26)</f>
        <v>topo-lightbulb-moment</v>
      </c>
      <c r="J26" s="2" t="s">
        <v>351</v>
      </c>
    </row>
    <row r="27" spans="1:10" x14ac:dyDescent="0.25">
      <c r="A27" t="s">
        <v>183</v>
      </c>
      <c r="B27" s="3">
        <v>46198.590543981481</v>
      </c>
      <c r="C27" t="s">
        <v>60</v>
      </c>
      <c r="D27" t="b">
        <v>0</v>
      </c>
      <c r="E27" s="4">
        <v>8</v>
      </c>
      <c r="F27" s="4">
        <v>183</v>
      </c>
      <c r="G27" s="4">
        <v>194</v>
      </c>
      <c r="H27" t="s">
        <v>61</v>
      </c>
      <c r="I27" s="5" t="str">
        <f t="shared" si="0"/>
        <v>topo-llama-web-ui</v>
      </c>
      <c r="J27" t="s">
        <v>351</v>
      </c>
    </row>
    <row r="28" spans="1:10" x14ac:dyDescent="0.25">
      <c r="A28" s="2" t="s">
        <v>184</v>
      </c>
      <c r="B28" s="6">
        <v>46197.671516203707</v>
      </c>
      <c r="C28" s="2" t="s">
        <v>60</v>
      </c>
      <c r="D28" s="2" t="b">
        <v>0</v>
      </c>
      <c r="E28" s="7">
        <v>2</v>
      </c>
      <c r="F28" s="7">
        <v>37</v>
      </c>
      <c r="G28" s="7">
        <v>2</v>
      </c>
      <c r="H28" s="2" t="s">
        <v>61</v>
      </c>
      <c r="I28" s="8" t="str">
        <f t="shared" si="0"/>
        <v>topo-simd-visual-benchmark</v>
      </c>
      <c r="J28" s="2" t="s">
        <v>351</v>
      </c>
    </row>
    <row r="29" spans="1:10" x14ac:dyDescent="0.25">
      <c r="A29" t="s">
        <v>185</v>
      </c>
      <c r="B29" s="3">
        <v>46197.626805555563</v>
      </c>
      <c r="C29" t="s">
        <v>60</v>
      </c>
      <c r="D29" t="b">
        <v>0</v>
      </c>
      <c r="E29" s="4">
        <v>37</v>
      </c>
      <c r="F29" s="4">
        <v>232</v>
      </c>
      <c r="G29" s="4">
        <v>1355</v>
      </c>
      <c r="H29" t="s">
        <v>61</v>
      </c>
      <c r="I29" s="5" t="str">
        <f t="shared" si="0"/>
        <v>ModelNova</v>
      </c>
      <c r="J29" t="s">
        <v>350</v>
      </c>
    </row>
    <row r="30" spans="1:10" x14ac:dyDescent="0.25">
      <c r="A30" s="2" t="s">
        <v>186</v>
      </c>
      <c r="B30" s="6">
        <v>46197.592581018522</v>
      </c>
      <c r="C30" s="2" t="s">
        <v>60</v>
      </c>
      <c r="D30" s="2" t="b">
        <v>0</v>
      </c>
      <c r="E30" s="7">
        <v>9</v>
      </c>
      <c r="F30" s="7">
        <v>10</v>
      </c>
      <c r="G30" s="7">
        <v>78</v>
      </c>
      <c r="H30" s="2" t="s">
        <v>61</v>
      </c>
      <c r="I30" s="8" t="str">
        <f t="shared" si="0"/>
        <v>topo-imx93-ethos-u65-image-classifier</v>
      </c>
      <c r="J30" s="2" t="s">
        <v>351</v>
      </c>
    </row>
    <row r="31" spans="1:10" x14ac:dyDescent="0.25">
      <c r="A31" t="s">
        <v>187</v>
      </c>
      <c r="B31" s="3">
        <v>46197.514884259261</v>
      </c>
      <c r="C31" t="s">
        <v>60</v>
      </c>
      <c r="D31" t="b">
        <v>0</v>
      </c>
      <c r="E31" s="4">
        <v>18</v>
      </c>
      <c r="F31" s="4">
        <v>52</v>
      </c>
      <c r="G31" s="4">
        <v>63</v>
      </c>
      <c r="H31" t="s">
        <v>61</v>
      </c>
      <c r="I31" s="5" t="str">
        <f t="shared" si="0"/>
        <v>Real-Time-Voice-Assistant</v>
      </c>
      <c r="J31" t="s">
        <v>351</v>
      </c>
    </row>
    <row r="32" spans="1:10" x14ac:dyDescent="0.25">
      <c r="A32" s="2" t="s">
        <v>188</v>
      </c>
      <c r="B32" s="6">
        <v>46197.233310185176</v>
      </c>
      <c r="C32" s="2" t="s">
        <v>60</v>
      </c>
      <c r="D32" s="2" t="b">
        <v>0</v>
      </c>
      <c r="E32" s="7">
        <v>18</v>
      </c>
      <c r="F32" s="7">
        <v>79</v>
      </c>
      <c r="G32" s="7">
        <v>237</v>
      </c>
      <c r="H32" s="2" t="s">
        <v>61</v>
      </c>
      <c r="I32" s="8" t="str">
        <f t="shared" si="0"/>
        <v>SDS-Examples</v>
      </c>
      <c r="J32" s="2" t="s">
        <v>350</v>
      </c>
    </row>
    <row r="33" spans="1:10" x14ac:dyDescent="0.25">
      <c r="A33" t="s">
        <v>189</v>
      </c>
      <c r="B33" s="3">
        <v>46191.590300925927</v>
      </c>
      <c r="C33" t="s">
        <v>60</v>
      </c>
      <c r="D33" t="b">
        <v>0</v>
      </c>
      <c r="E33" s="4">
        <v>12</v>
      </c>
      <c r="F33" s="4">
        <v>62</v>
      </c>
      <c r="G33" s="4">
        <v>75</v>
      </c>
      <c r="H33" t="s">
        <v>61</v>
      </c>
      <c r="I33" s="5" t="str">
        <f t="shared" si="0"/>
        <v>LLM-Runner</v>
      </c>
      <c r="J33" t="s">
        <v>350</v>
      </c>
    </row>
    <row r="34" spans="1:10" x14ac:dyDescent="0.25">
      <c r="A34" s="2" t="s">
        <v>92</v>
      </c>
      <c r="B34" s="6">
        <v>46190.586967592593</v>
      </c>
      <c r="C34" s="2" t="s">
        <v>60</v>
      </c>
      <c r="D34" s="2" t="b">
        <v>0</v>
      </c>
      <c r="E34" s="7">
        <v>26</v>
      </c>
      <c r="F34" s="7">
        <v>36</v>
      </c>
      <c r="G34" s="7">
        <v>58</v>
      </c>
      <c r="H34" s="2" t="s">
        <v>61</v>
      </c>
      <c r="I34" s="8" t="str">
        <f t="shared" si="0"/>
        <v>.github</v>
      </c>
      <c r="J34" s="2" t="s">
        <v>350</v>
      </c>
    </row>
    <row r="35" spans="1:10" x14ac:dyDescent="0.25">
      <c r="A35" t="s">
        <v>190</v>
      </c>
      <c r="B35" s="3">
        <v>46190.465717592589</v>
      </c>
      <c r="C35" t="s">
        <v>60</v>
      </c>
      <c r="D35" t="b">
        <v>0</v>
      </c>
      <c r="E35" s="4">
        <v>79</v>
      </c>
      <c r="F35" s="4">
        <v>44</v>
      </c>
      <c r="G35" s="4">
        <v>207</v>
      </c>
      <c r="H35" t="s">
        <v>61</v>
      </c>
      <c r="I35" s="5" t="str">
        <f t="shared" si="0"/>
        <v>AVH_CI_Template</v>
      </c>
      <c r="J35" t="s">
        <v>350</v>
      </c>
    </row>
    <row r="36" spans="1:10" x14ac:dyDescent="0.25">
      <c r="A36" s="2" t="s">
        <v>191</v>
      </c>
      <c r="B36" s="6">
        <v>46182.657650462963</v>
      </c>
      <c r="C36" s="2" t="s">
        <v>60</v>
      </c>
      <c r="D36" s="2" t="b">
        <v>0</v>
      </c>
      <c r="E36" s="7">
        <v>6</v>
      </c>
      <c r="F36" s="7">
        <v>36</v>
      </c>
      <c r="G36" s="7">
        <v>16</v>
      </c>
      <c r="H36" s="2" t="s">
        <v>61</v>
      </c>
      <c r="I36" s="8" t="str">
        <f t="shared" si="0"/>
        <v>topo-welcome</v>
      </c>
      <c r="J36" s="2" t="s">
        <v>351</v>
      </c>
    </row>
    <row r="37" spans="1:10" x14ac:dyDescent="0.25">
      <c r="A37" t="s">
        <v>192</v>
      </c>
      <c r="B37" s="3">
        <v>46178.644062500003</v>
      </c>
      <c r="C37" t="s">
        <v>60</v>
      </c>
      <c r="D37" t="b">
        <v>0</v>
      </c>
      <c r="E37" s="4">
        <v>17</v>
      </c>
      <c r="F37" s="4">
        <v>28</v>
      </c>
      <c r="G37" s="4">
        <v>60</v>
      </c>
      <c r="H37" t="s">
        <v>61</v>
      </c>
      <c r="I37" s="5" t="str">
        <f t="shared" si="0"/>
        <v>CMSIS-Zephyr</v>
      </c>
      <c r="J37" t="s">
        <v>350</v>
      </c>
    </row>
    <row r="38" spans="1:10" x14ac:dyDescent="0.25">
      <c r="A38" s="2" t="s">
        <v>193</v>
      </c>
      <c r="B38" s="6">
        <v>46178.585081018522</v>
      </c>
      <c r="C38" s="2" t="s">
        <v>60</v>
      </c>
      <c r="D38" s="2" t="b">
        <v>0</v>
      </c>
      <c r="E38" s="7">
        <v>9</v>
      </c>
      <c r="F38" s="7">
        <v>17</v>
      </c>
      <c r="G38" s="7">
        <v>33</v>
      </c>
      <c r="H38" s="2" t="s">
        <v>61</v>
      </c>
      <c r="I38" s="8" t="str">
        <f t="shared" si="0"/>
        <v>Numerics</v>
      </c>
      <c r="J38" s="2" t="s">
        <v>351</v>
      </c>
    </row>
    <row r="39" spans="1:10" x14ac:dyDescent="0.25">
      <c r="A39" t="s">
        <v>194</v>
      </c>
      <c r="B39" s="3">
        <v>46174.159826388888</v>
      </c>
      <c r="C39" t="s">
        <v>60</v>
      </c>
      <c r="D39" t="b">
        <v>0</v>
      </c>
      <c r="E39" s="4">
        <v>15</v>
      </c>
      <c r="F39" s="4">
        <v>28</v>
      </c>
      <c r="G39" s="4">
        <v>66</v>
      </c>
      <c r="H39" t="s">
        <v>61</v>
      </c>
      <c r="I39" s="5" t="str">
        <f t="shared" si="0"/>
        <v>FVPs-on-Mac</v>
      </c>
      <c r="J39" t="s">
        <v>350</v>
      </c>
    </row>
    <row r="40" spans="1:10" x14ac:dyDescent="0.25">
      <c r="A40" s="2" t="s">
        <v>195</v>
      </c>
      <c r="B40" s="6">
        <v>46163.657754629632</v>
      </c>
      <c r="C40" s="2" t="s">
        <v>60</v>
      </c>
      <c r="D40" s="2" t="b">
        <v>0</v>
      </c>
      <c r="E40" s="7">
        <v>14</v>
      </c>
      <c r="F40" s="7">
        <v>22</v>
      </c>
      <c r="G40" s="7">
        <v>44</v>
      </c>
      <c r="H40" s="2" t="s">
        <v>61</v>
      </c>
      <c r="I40" s="8" t="str">
        <f t="shared" si="0"/>
        <v>executorch-grid-sample-export</v>
      </c>
      <c r="J40" s="2" t="s">
        <v>351</v>
      </c>
    </row>
    <row r="41" spans="1:10" x14ac:dyDescent="0.25">
      <c r="A41" t="s">
        <v>196</v>
      </c>
      <c r="B41" s="3">
        <v>46163.515717592592</v>
      </c>
      <c r="C41" t="s">
        <v>60</v>
      </c>
      <c r="D41" t="b">
        <v>0</v>
      </c>
      <c r="E41" s="4">
        <v>6</v>
      </c>
      <c r="F41" s="4">
        <v>22</v>
      </c>
      <c r="G41" s="4">
        <v>6</v>
      </c>
      <c r="H41" t="s">
        <v>61</v>
      </c>
      <c r="I41" s="5" t="str">
        <f t="shared" si="0"/>
        <v>STM32_LiveUpdate</v>
      </c>
      <c r="J41" t="s">
        <v>350</v>
      </c>
    </row>
    <row r="42" spans="1:10" x14ac:dyDescent="0.25">
      <c r="A42" s="2" t="s">
        <v>197</v>
      </c>
      <c r="B42" s="6">
        <v>46161.578101851846</v>
      </c>
      <c r="C42" s="2" t="s">
        <v>60</v>
      </c>
      <c r="D42" s="2" t="b">
        <v>0</v>
      </c>
      <c r="E42" s="7">
        <v>9</v>
      </c>
      <c r="F42" s="7">
        <v>25</v>
      </c>
      <c r="G42" s="7">
        <v>36</v>
      </c>
      <c r="H42" s="2" t="s">
        <v>61</v>
      </c>
      <c r="I42" s="8" t="str">
        <f t="shared" si="0"/>
        <v>cmsis-mlek</v>
      </c>
      <c r="J42" s="2" t="s">
        <v>350</v>
      </c>
    </row>
    <row r="43" spans="1:10" x14ac:dyDescent="0.25">
      <c r="A43" t="s">
        <v>198</v>
      </c>
      <c r="B43" s="3">
        <v>46160.611203703702</v>
      </c>
      <c r="C43" t="s">
        <v>60</v>
      </c>
      <c r="D43" t="b">
        <v>0</v>
      </c>
      <c r="E43" s="4">
        <v>2</v>
      </c>
      <c r="F43" s="4">
        <v>20</v>
      </c>
      <c r="G43" s="4">
        <v>2</v>
      </c>
      <c r="H43" t="s">
        <v>61</v>
      </c>
      <c r="I43" s="5" t="str">
        <f t="shared" si="0"/>
        <v>Hello_B-U585I-IOT02A</v>
      </c>
      <c r="J43" t="s">
        <v>350</v>
      </c>
    </row>
    <row r="44" spans="1:10" x14ac:dyDescent="0.25">
      <c r="A44" s="2" t="s">
        <v>199</v>
      </c>
      <c r="B44" s="6">
        <v>46156.38553240741</v>
      </c>
      <c r="C44" s="2" t="s">
        <v>60</v>
      </c>
      <c r="D44" s="2" t="b">
        <v>0</v>
      </c>
      <c r="E44" s="7">
        <v>75</v>
      </c>
      <c r="F44" s="7">
        <v>44</v>
      </c>
      <c r="G44" s="7">
        <v>172</v>
      </c>
      <c r="H44" s="2" t="s">
        <v>61</v>
      </c>
      <c r="I44" s="8" t="str">
        <f t="shared" si="0"/>
        <v>ML-examples</v>
      </c>
      <c r="J44" s="2" t="s">
        <v>350</v>
      </c>
    </row>
    <row r="45" spans="1:10" x14ac:dyDescent="0.25">
      <c r="A45" t="s">
        <v>200</v>
      </c>
      <c r="B45" s="3">
        <v>46149.668124999997</v>
      </c>
      <c r="C45" t="s">
        <v>60</v>
      </c>
      <c r="D45" t="b">
        <v>0</v>
      </c>
      <c r="E45" s="4">
        <v>20</v>
      </c>
      <c r="F45" s="4">
        <v>35</v>
      </c>
      <c r="G45" s="4">
        <v>51</v>
      </c>
      <c r="H45" t="s">
        <v>61</v>
      </c>
      <c r="I45" s="5" t="str">
        <f t="shared" si="0"/>
        <v>mlek-cmsis-pack-examples</v>
      </c>
      <c r="J45" t="s">
        <v>350</v>
      </c>
    </row>
    <row r="46" spans="1:10" x14ac:dyDescent="0.25">
      <c r="A46" s="2" t="s">
        <v>201</v>
      </c>
      <c r="B46" s="6">
        <v>46149.598599537043</v>
      </c>
      <c r="C46" s="2" t="s">
        <v>60</v>
      </c>
      <c r="D46" s="2" t="b">
        <v>0</v>
      </c>
      <c r="E46" s="7">
        <v>8</v>
      </c>
      <c r="F46" s="7">
        <v>76</v>
      </c>
      <c r="G46" s="7">
        <v>14</v>
      </c>
      <c r="H46" s="2" t="s">
        <v>61</v>
      </c>
      <c r="I46" s="8" t="str">
        <f t="shared" si="0"/>
        <v>Hello_NUCLEO-G474RE</v>
      </c>
      <c r="J46" s="2" t="s">
        <v>350</v>
      </c>
    </row>
    <row r="47" spans="1:10" x14ac:dyDescent="0.25">
      <c r="A47" t="s">
        <v>202</v>
      </c>
      <c r="B47" s="3">
        <v>46149.577743055554</v>
      </c>
      <c r="C47" t="s">
        <v>60</v>
      </c>
      <c r="D47" t="b">
        <v>0</v>
      </c>
      <c r="E47" s="4">
        <v>0</v>
      </c>
      <c r="F47" s="4">
        <v>17</v>
      </c>
      <c r="G47" s="4">
        <v>0</v>
      </c>
      <c r="H47" t="s">
        <v>61</v>
      </c>
      <c r="I47" s="5" t="str">
        <f t="shared" si="0"/>
        <v>Hello_NUCLEO-F756ZG</v>
      </c>
      <c r="J47" t="s">
        <v>350</v>
      </c>
    </row>
    <row r="48" spans="1:10" x14ac:dyDescent="0.25">
      <c r="A48" s="2" t="s">
        <v>203</v>
      </c>
      <c r="B48" s="6">
        <v>46149.561365740738</v>
      </c>
      <c r="C48" s="2" t="s">
        <v>60</v>
      </c>
      <c r="D48" s="2" t="b">
        <v>0</v>
      </c>
      <c r="E48" s="7">
        <v>1</v>
      </c>
      <c r="F48" s="7">
        <v>22</v>
      </c>
      <c r="G48" s="7">
        <v>1</v>
      </c>
      <c r="H48" s="2" t="s">
        <v>61</v>
      </c>
      <c r="I48" s="8" t="str">
        <f t="shared" si="0"/>
        <v>Hello_MIMXRT1064-EVK</v>
      </c>
      <c r="J48" s="2" t="s">
        <v>350</v>
      </c>
    </row>
    <row r="49" spans="1:10" x14ac:dyDescent="0.25">
      <c r="A49" t="s">
        <v>204</v>
      </c>
      <c r="B49" s="3">
        <v>46149.553460648152</v>
      </c>
      <c r="C49" t="s">
        <v>60</v>
      </c>
      <c r="D49" t="b">
        <v>0</v>
      </c>
      <c r="E49" s="4">
        <v>2</v>
      </c>
      <c r="F49" s="4">
        <v>20</v>
      </c>
      <c r="G49" s="4">
        <v>8</v>
      </c>
      <c r="H49" t="s">
        <v>61</v>
      </c>
      <c r="I49" s="5" t="str">
        <f t="shared" si="0"/>
        <v>Hello_MIMXRT1060-EVKB</v>
      </c>
      <c r="J49" t="s">
        <v>350</v>
      </c>
    </row>
    <row r="50" spans="1:10" x14ac:dyDescent="0.25">
      <c r="A50" s="2" t="s">
        <v>205</v>
      </c>
      <c r="B50" s="6">
        <v>46149.536874999998</v>
      </c>
      <c r="C50" s="2" t="s">
        <v>60</v>
      </c>
      <c r="D50" s="2" t="b">
        <v>0</v>
      </c>
      <c r="E50" s="7">
        <v>3</v>
      </c>
      <c r="F50" s="7">
        <v>249</v>
      </c>
      <c r="G50" s="7">
        <v>4</v>
      </c>
      <c r="H50" s="2" t="s">
        <v>61</v>
      </c>
      <c r="I50" s="8" t="str">
        <f t="shared" si="0"/>
        <v>Hello_LPCXpresso55S69</v>
      </c>
      <c r="J50" s="2" t="s">
        <v>350</v>
      </c>
    </row>
    <row r="51" spans="1:10" x14ac:dyDescent="0.25">
      <c r="A51" t="s">
        <v>206</v>
      </c>
      <c r="B51" s="3">
        <v>46149.505277777767</v>
      </c>
      <c r="C51" t="s">
        <v>60</v>
      </c>
      <c r="D51" t="b">
        <v>0</v>
      </c>
      <c r="E51" s="4">
        <v>0</v>
      </c>
      <c r="F51" s="4">
        <v>20</v>
      </c>
      <c r="G51" s="4">
        <v>0</v>
      </c>
      <c r="H51" t="s">
        <v>61</v>
      </c>
      <c r="I51" s="5" t="str">
        <f t="shared" si="0"/>
        <v>Hello_IMXRT1050-EVKB</v>
      </c>
      <c r="J51" t="s">
        <v>350</v>
      </c>
    </row>
    <row r="52" spans="1:10" x14ac:dyDescent="0.25">
      <c r="A52" s="2" t="s">
        <v>207</v>
      </c>
      <c r="B52" s="6">
        <v>46149.483912037038</v>
      </c>
      <c r="C52" s="2" t="s">
        <v>60</v>
      </c>
      <c r="D52" s="2" t="b">
        <v>0</v>
      </c>
      <c r="E52" s="7">
        <v>1</v>
      </c>
      <c r="F52" s="7">
        <v>196</v>
      </c>
      <c r="G52" s="7">
        <v>1</v>
      </c>
      <c r="H52" s="2" t="s">
        <v>61</v>
      </c>
      <c r="I52" s="8" t="str">
        <f t="shared" si="0"/>
        <v>Hello_FRDM-K32L3A6</v>
      </c>
      <c r="J52" s="2" t="s">
        <v>350</v>
      </c>
    </row>
    <row r="53" spans="1:10" x14ac:dyDescent="0.25">
      <c r="A53" t="s">
        <v>208</v>
      </c>
      <c r="B53" s="3">
        <v>46149.444085648152</v>
      </c>
      <c r="C53" t="s">
        <v>60</v>
      </c>
      <c r="D53" t="b">
        <v>0</v>
      </c>
      <c r="E53" s="4">
        <v>2</v>
      </c>
      <c r="F53" s="4">
        <v>18</v>
      </c>
      <c r="G53" s="4">
        <v>2</v>
      </c>
      <c r="H53" t="s">
        <v>61</v>
      </c>
      <c r="I53" s="5" t="str">
        <f t="shared" si="0"/>
        <v>CMSIS-Stream_SDS_Demo</v>
      </c>
      <c r="J53" t="s">
        <v>350</v>
      </c>
    </row>
    <row r="54" spans="1:10" x14ac:dyDescent="0.25">
      <c r="A54" s="2" t="s">
        <v>209</v>
      </c>
      <c r="B54" s="6">
        <v>46149.375428240739</v>
      </c>
      <c r="C54" s="2" t="s">
        <v>60</v>
      </c>
      <c r="D54" s="2" t="b">
        <v>0</v>
      </c>
      <c r="E54" s="7">
        <v>0</v>
      </c>
      <c r="F54" s="7">
        <v>20</v>
      </c>
      <c r="G54" s="7">
        <v>0</v>
      </c>
      <c r="H54" s="2" t="s">
        <v>61</v>
      </c>
      <c r="I54" s="8" t="str">
        <f t="shared" si="0"/>
        <v>Blinky_FRDM-K32L3A6</v>
      </c>
      <c r="J54" s="2" t="s">
        <v>350</v>
      </c>
    </row>
    <row r="55" spans="1:10" x14ac:dyDescent="0.25">
      <c r="A55" t="s">
        <v>210</v>
      </c>
      <c r="B55" s="3">
        <v>46149.368900462963</v>
      </c>
      <c r="C55" t="s">
        <v>60</v>
      </c>
      <c r="D55" t="b">
        <v>0</v>
      </c>
      <c r="E55" s="4">
        <v>0</v>
      </c>
      <c r="F55" s="4">
        <v>15</v>
      </c>
      <c r="G55" s="4">
        <v>0</v>
      </c>
      <c r="H55" t="s">
        <v>61</v>
      </c>
      <c r="I55" s="5" t="str">
        <f t="shared" si="0"/>
        <v>Blinky_AVH_uV</v>
      </c>
      <c r="J55" t="s">
        <v>350</v>
      </c>
    </row>
    <row r="56" spans="1:10" x14ac:dyDescent="0.25">
      <c r="A56" s="2" t="s">
        <v>211</v>
      </c>
      <c r="B56" s="6">
        <v>46148.526076388887</v>
      </c>
      <c r="C56" s="2" t="s">
        <v>60</v>
      </c>
      <c r="D56" s="2" t="b">
        <v>0</v>
      </c>
      <c r="E56" s="7">
        <v>1</v>
      </c>
      <c r="F56" s="7">
        <v>202</v>
      </c>
      <c r="G56" s="7">
        <v>2</v>
      </c>
      <c r="H56" s="2" t="s">
        <v>61</v>
      </c>
      <c r="I56" s="8" t="str">
        <f t="shared" si="0"/>
        <v>AVH-VSI</v>
      </c>
      <c r="J56" s="2" t="s">
        <v>350</v>
      </c>
    </row>
    <row r="57" spans="1:10" x14ac:dyDescent="0.25">
      <c r="A57" t="s">
        <v>212</v>
      </c>
      <c r="B57" s="3">
        <v>46129.41909722222</v>
      </c>
      <c r="C57" t="s">
        <v>60</v>
      </c>
      <c r="D57" t="b">
        <v>0</v>
      </c>
      <c r="E57" s="4">
        <v>5</v>
      </c>
      <c r="F57" s="4">
        <v>27</v>
      </c>
      <c r="G57" s="4">
        <v>20</v>
      </c>
      <c r="H57" t="s">
        <v>61</v>
      </c>
      <c r="I57" s="5" t="str">
        <f t="shared" si="0"/>
        <v>AWS_MQTT_Demo</v>
      </c>
      <c r="J57" t="s">
        <v>350</v>
      </c>
    </row>
    <row r="58" spans="1:10" x14ac:dyDescent="0.25">
      <c r="A58" s="2" t="s">
        <v>213</v>
      </c>
      <c r="B58" s="6">
        <v>46128.556863425933</v>
      </c>
      <c r="C58" s="2" t="s">
        <v>60</v>
      </c>
      <c r="D58" s="2" t="b">
        <v>0</v>
      </c>
      <c r="E58" s="7">
        <v>2</v>
      </c>
      <c r="F58" s="7">
        <v>23</v>
      </c>
      <c r="G58" s="7">
        <v>2</v>
      </c>
      <c r="H58" s="2" t="s">
        <v>61</v>
      </c>
      <c r="I58" s="8" t="str">
        <f t="shared" ref="I58:I78" si="1">HYPERLINK("https://github.com/" &amp; "arm-examples" &amp; "/" &amp; A58, A58)</f>
        <v>CMSIS-Zephyr-Executorch</v>
      </c>
      <c r="J58" s="2" t="s">
        <v>350</v>
      </c>
    </row>
    <row r="59" spans="1:10" x14ac:dyDescent="0.25">
      <c r="A59" t="s">
        <v>214</v>
      </c>
      <c r="B59" s="3">
        <v>46126.53466435185</v>
      </c>
      <c r="C59" t="s">
        <v>60</v>
      </c>
      <c r="D59" t="b">
        <v>0</v>
      </c>
      <c r="E59" s="4">
        <v>13</v>
      </c>
      <c r="F59" s="4">
        <v>31</v>
      </c>
      <c r="G59" s="4">
        <v>29</v>
      </c>
      <c r="H59" t="s">
        <v>61</v>
      </c>
      <c r="I59" s="5" t="str">
        <f t="shared" si="1"/>
        <v>STT-Runner</v>
      </c>
      <c r="J59" t="s">
        <v>350</v>
      </c>
    </row>
    <row r="60" spans="1:10" x14ac:dyDescent="0.25">
      <c r="A60" s="2" t="s">
        <v>215</v>
      </c>
      <c r="B60" s="6">
        <v>46126.315868055557</v>
      </c>
      <c r="C60" s="2" t="s">
        <v>60</v>
      </c>
      <c r="D60" s="2" t="b">
        <v>0</v>
      </c>
      <c r="E60" s="7">
        <v>18</v>
      </c>
      <c r="F60" s="7">
        <v>79</v>
      </c>
      <c r="G60" s="7">
        <v>43</v>
      </c>
      <c r="H60" s="2" t="s">
        <v>61</v>
      </c>
      <c r="I60" s="8" t="str">
        <f t="shared" si="1"/>
        <v>Hello_Codespaces</v>
      </c>
      <c r="J60" s="2" t="s">
        <v>350</v>
      </c>
    </row>
    <row r="61" spans="1:10" x14ac:dyDescent="0.25">
      <c r="A61" t="s">
        <v>216</v>
      </c>
      <c r="B61" s="3">
        <v>46114.437928240739</v>
      </c>
      <c r="C61" t="s">
        <v>60</v>
      </c>
      <c r="D61" t="b">
        <v>0</v>
      </c>
      <c r="E61" s="4">
        <v>12</v>
      </c>
      <c r="F61" s="4">
        <v>21</v>
      </c>
      <c r="G61" s="4">
        <v>42</v>
      </c>
      <c r="H61" t="s">
        <v>61</v>
      </c>
      <c r="I61" s="5" t="str">
        <f t="shared" si="1"/>
        <v>Safety-Example-Infineon-T2G</v>
      </c>
      <c r="J61" t="s">
        <v>350</v>
      </c>
    </row>
    <row r="62" spans="1:10" x14ac:dyDescent="0.25">
      <c r="A62" s="2" t="s">
        <v>217</v>
      </c>
      <c r="B62" s="6">
        <v>46093.593090277784</v>
      </c>
      <c r="C62" s="2" t="s">
        <v>60</v>
      </c>
      <c r="D62" s="2" t="b">
        <v>0</v>
      </c>
      <c r="E62" s="7">
        <v>9</v>
      </c>
      <c r="F62" s="7">
        <v>23</v>
      </c>
      <c r="G62" s="7">
        <v>56</v>
      </c>
      <c r="H62" s="2" t="s">
        <v>61</v>
      </c>
      <c r="I62" s="8" t="str">
        <f t="shared" si="1"/>
        <v>Safety-Example-STM32</v>
      </c>
      <c r="J62" s="2" t="s">
        <v>350</v>
      </c>
    </row>
    <row r="63" spans="1:10" x14ac:dyDescent="0.25">
      <c r="A63" t="s">
        <v>218</v>
      </c>
      <c r="B63" s="3">
        <v>46087.541412037041</v>
      </c>
      <c r="C63" t="s">
        <v>60</v>
      </c>
      <c r="D63" t="b">
        <v>0</v>
      </c>
      <c r="E63" s="4">
        <v>12</v>
      </c>
      <c r="F63" s="4">
        <v>20</v>
      </c>
      <c r="G63" s="4">
        <v>142</v>
      </c>
      <c r="H63" t="s">
        <v>61</v>
      </c>
      <c r="I63" s="5" t="str">
        <f t="shared" si="1"/>
        <v>CMSIS-Executorch</v>
      </c>
      <c r="J63" t="s">
        <v>350</v>
      </c>
    </row>
    <row r="64" spans="1:10" x14ac:dyDescent="0.25">
      <c r="A64" s="2" t="s">
        <v>219</v>
      </c>
      <c r="B64" s="6">
        <v>46080.340624999997</v>
      </c>
      <c r="C64" s="2" t="s">
        <v>60</v>
      </c>
      <c r="D64" s="2" t="b">
        <v>0</v>
      </c>
      <c r="E64" s="7">
        <v>14</v>
      </c>
      <c r="F64" s="7">
        <v>25</v>
      </c>
      <c r="G64" s="7">
        <v>85</v>
      </c>
      <c r="H64" s="2" t="s">
        <v>61</v>
      </c>
      <c r="I64" s="8" t="str">
        <f t="shared" si="1"/>
        <v>AVH-Hello</v>
      </c>
      <c r="J64" s="2" t="s">
        <v>350</v>
      </c>
    </row>
    <row r="65" spans="1:10" x14ac:dyDescent="0.25">
      <c r="A65" t="s">
        <v>220</v>
      </c>
      <c r="B65" s="3">
        <v>46065.48027777778</v>
      </c>
      <c r="C65" t="s">
        <v>60</v>
      </c>
      <c r="D65" t="b">
        <v>0</v>
      </c>
      <c r="E65" s="4">
        <v>12</v>
      </c>
      <c r="F65" s="4">
        <v>23</v>
      </c>
      <c r="G65" s="4">
        <v>45</v>
      </c>
      <c r="H65" t="s">
        <v>61</v>
      </c>
      <c r="I65" s="5" t="str">
        <f t="shared" si="1"/>
        <v>cmsis-mlek-examples</v>
      </c>
      <c r="J65" t="s">
        <v>350</v>
      </c>
    </row>
    <row r="66" spans="1:10" x14ac:dyDescent="0.25">
      <c r="A66" s="2" t="s">
        <v>221</v>
      </c>
      <c r="B66" s="6">
        <v>46065.471724537027</v>
      </c>
      <c r="C66" s="2" t="s">
        <v>60</v>
      </c>
      <c r="D66" s="2" t="b">
        <v>0</v>
      </c>
      <c r="E66" s="7">
        <v>4</v>
      </c>
      <c r="F66" s="7">
        <v>22</v>
      </c>
      <c r="G66" s="7">
        <v>13</v>
      </c>
      <c r="H66" s="2" t="s">
        <v>61</v>
      </c>
      <c r="I66" s="8" t="str">
        <f t="shared" si="1"/>
        <v>Middleware_USB_FS</v>
      </c>
      <c r="J66" s="2" t="s">
        <v>350</v>
      </c>
    </row>
    <row r="67" spans="1:10" x14ac:dyDescent="0.25">
      <c r="A67" t="s">
        <v>222</v>
      </c>
      <c r="B67" s="3">
        <v>46064.612650462957</v>
      </c>
      <c r="C67" t="s">
        <v>60</v>
      </c>
      <c r="D67" t="b">
        <v>0</v>
      </c>
      <c r="E67" s="4">
        <v>1</v>
      </c>
      <c r="F67" s="4">
        <v>20</v>
      </c>
      <c r="G67" s="4">
        <v>10</v>
      </c>
      <c r="H67" t="s">
        <v>61</v>
      </c>
      <c r="I67" s="5" t="str">
        <f t="shared" si="1"/>
        <v>CMSIS-Linux</v>
      </c>
      <c r="J67" t="s">
        <v>350</v>
      </c>
    </row>
    <row r="68" spans="1:10" x14ac:dyDescent="0.25">
      <c r="A68" s="2" t="s">
        <v>223</v>
      </c>
      <c r="B68" s="6">
        <v>46049.622060185182</v>
      </c>
      <c r="C68" s="2" t="s">
        <v>60</v>
      </c>
      <c r="D68" s="2" t="b">
        <v>0</v>
      </c>
      <c r="E68" s="7">
        <v>21</v>
      </c>
      <c r="F68" s="7">
        <v>24</v>
      </c>
      <c r="G68" s="7">
        <v>46</v>
      </c>
      <c r="H68" s="2" t="s">
        <v>61</v>
      </c>
      <c r="I68" s="8" t="str">
        <f t="shared" si="1"/>
        <v>Hello_World</v>
      </c>
      <c r="J68" s="2" t="s">
        <v>350</v>
      </c>
    </row>
    <row r="69" spans="1:10" x14ac:dyDescent="0.25">
      <c r="A69" t="s">
        <v>224</v>
      </c>
      <c r="B69" s="3">
        <v>46006.466620370367</v>
      </c>
      <c r="C69" t="s">
        <v>60</v>
      </c>
      <c r="D69" t="b">
        <v>0</v>
      </c>
      <c r="E69" s="4">
        <v>3</v>
      </c>
      <c r="F69" s="4">
        <v>15</v>
      </c>
      <c r="G69" s="4">
        <v>4</v>
      </c>
      <c r="H69" t="s">
        <v>61</v>
      </c>
      <c r="I69" s="5" t="str">
        <f t="shared" si="1"/>
        <v>verify-cmsis-example-action</v>
      </c>
      <c r="J69" t="s">
        <v>351</v>
      </c>
    </row>
    <row r="70" spans="1:10" x14ac:dyDescent="0.25">
      <c r="A70" s="2" t="s">
        <v>225</v>
      </c>
      <c r="B70" s="6">
        <v>45982.30027777778</v>
      </c>
      <c r="C70" s="2" t="s">
        <v>60</v>
      </c>
      <c r="D70" s="2" t="b">
        <v>0</v>
      </c>
      <c r="E70" s="7">
        <v>0</v>
      </c>
      <c r="F70" s="7">
        <v>19</v>
      </c>
      <c r="G70" s="7">
        <v>0</v>
      </c>
      <c r="H70" s="2" t="s">
        <v>61</v>
      </c>
      <c r="I70" s="8" t="str">
        <f t="shared" si="1"/>
        <v>publish-cmsis-example</v>
      </c>
      <c r="J70" s="2" t="s">
        <v>351</v>
      </c>
    </row>
    <row r="71" spans="1:10" x14ac:dyDescent="0.25">
      <c r="A71" t="s">
        <v>226</v>
      </c>
      <c r="B71" s="3">
        <v>45972.669687499998</v>
      </c>
      <c r="C71" t="s">
        <v>60</v>
      </c>
      <c r="D71" t="b">
        <v>0</v>
      </c>
      <c r="E71" s="4">
        <v>20</v>
      </c>
      <c r="F71" s="4">
        <v>24</v>
      </c>
      <c r="G71" s="4">
        <v>48</v>
      </c>
      <c r="H71" t="s">
        <v>61</v>
      </c>
      <c r="I71" s="5" t="str">
        <f t="shared" si="1"/>
        <v>Get-Started-with-Edge-AI</v>
      </c>
      <c r="J71" t="s">
        <v>350</v>
      </c>
    </row>
    <row r="72" spans="1:10" x14ac:dyDescent="0.25">
      <c r="A72" s="2" t="s">
        <v>227</v>
      </c>
      <c r="B72" s="6">
        <v>45944.298541666663</v>
      </c>
      <c r="C72" s="2" t="s">
        <v>60</v>
      </c>
      <c r="D72" s="2" t="b">
        <v>0</v>
      </c>
      <c r="E72" s="7">
        <v>5</v>
      </c>
      <c r="F72" s="7">
        <v>26</v>
      </c>
      <c r="G72" s="7">
        <v>33</v>
      </c>
      <c r="H72" s="2" t="s">
        <v>61</v>
      </c>
      <c r="I72" s="8" t="str">
        <f t="shared" si="1"/>
        <v>Paddle-on-Ethos-U</v>
      </c>
      <c r="J72" s="2" t="s">
        <v>351</v>
      </c>
    </row>
    <row r="73" spans="1:10" x14ac:dyDescent="0.25">
      <c r="A73" t="s">
        <v>228</v>
      </c>
      <c r="B73" s="3">
        <v>45940.558252314811</v>
      </c>
      <c r="C73" t="s">
        <v>60</v>
      </c>
      <c r="D73" t="b">
        <v>0</v>
      </c>
      <c r="E73" s="4">
        <v>16</v>
      </c>
      <c r="F73" s="4">
        <v>21</v>
      </c>
      <c r="G73" s="4">
        <v>45</v>
      </c>
      <c r="H73" t="s">
        <v>61</v>
      </c>
      <c r="I73" s="9" t="str">
        <f t="shared" si="1"/>
        <v>Arm-Ethos-Zephyr-Playground</v>
      </c>
      <c r="J73" t="s">
        <v>351</v>
      </c>
    </row>
    <row r="74" spans="1:10" x14ac:dyDescent="0.25">
      <c r="A74" s="2" t="s">
        <v>229</v>
      </c>
      <c r="B74" s="6">
        <v>45931.595335648148</v>
      </c>
      <c r="C74" s="2" t="s">
        <v>60</v>
      </c>
      <c r="D74" s="2" t="b">
        <v>0</v>
      </c>
      <c r="E74" s="7">
        <v>0</v>
      </c>
      <c r="F74" s="7">
        <v>18</v>
      </c>
      <c r="G74" s="7">
        <v>0</v>
      </c>
      <c r="H74" s="2" t="s">
        <v>61</v>
      </c>
      <c r="I74" s="8" t="str">
        <f t="shared" si="1"/>
        <v>Blinky_Ensemble_E8</v>
      </c>
      <c r="J74" s="2" t="s">
        <v>350</v>
      </c>
    </row>
    <row r="75" spans="1:10" x14ac:dyDescent="0.25">
      <c r="A75" t="s">
        <v>230</v>
      </c>
      <c r="B75" s="3">
        <v>45638.856145833342</v>
      </c>
      <c r="C75" t="s">
        <v>60</v>
      </c>
      <c r="D75" t="b">
        <v>0</v>
      </c>
      <c r="E75" s="4">
        <v>15</v>
      </c>
      <c r="F75" s="4">
        <v>20</v>
      </c>
      <c r="G75" s="4">
        <v>34</v>
      </c>
      <c r="H75" t="s">
        <v>61</v>
      </c>
      <c r="I75" s="5" t="str">
        <f t="shared" si="1"/>
        <v>Helium-Optimization</v>
      </c>
      <c r="J75" t="s">
        <v>351</v>
      </c>
    </row>
    <row r="76" spans="1:10" x14ac:dyDescent="0.25">
      <c r="A76" s="2" t="s">
        <v>231</v>
      </c>
      <c r="B76" s="6">
        <v>45461.325694444437</v>
      </c>
      <c r="C76" s="2" t="s">
        <v>60</v>
      </c>
      <c r="D76" s="2" t="b">
        <v>0</v>
      </c>
      <c r="E76" s="7">
        <v>0</v>
      </c>
      <c r="F76" s="7">
        <v>18</v>
      </c>
      <c r="G76" s="7">
        <v>0</v>
      </c>
      <c r="H76" s="2" t="s">
        <v>61</v>
      </c>
      <c r="I76" s="8" t="str">
        <f t="shared" si="1"/>
        <v>VSI_video</v>
      </c>
      <c r="J76" s="2" t="s">
        <v>351</v>
      </c>
    </row>
    <row r="77" spans="1:10" x14ac:dyDescent="0.25">
      <c r="A77" t="s">
        <v>232</v>
      </c>
      <c r="B77" s="3">
        <v>45458.29892361111</v>
      </c>
      <c r="C77" t="s">
        <v>60</v>
      </c>
      <c r="D77" t="b">
        <v>0</v>
      </c>
      <c r="E77" s="4">
        <v>0</v>
      </c>
      <c r="F77" s="4">
        <v>16</v>
      </c>
      <c r="G77" s="4">
        <v>0</v>
      </c>
      <c r="H77" t="s">
        <v>61</v>
      </c>
      <c r="I77" s="5" t="str">
        <f t="shared" si="1"/>
        <v>cloud_ci_demo_rv2</v>
      </c>
      <c r="J77" t="s">
        <v>351</v>
      </c>
    </row>
    <row r="78" spans="1:10" x14ac:dyDescent="0.25">
      <c r="A78" s="2" t="s">
        <v>233</v>
      </c>
      <c r="B78" s="6">
        <v>45458.298692129632</v>
      </c>
      <c r="C78" s="2" t="s">
        <v>60</v>
      </c>
      <c r="D78" s="2" t="b">
        <v>0</v>
      </c>
      <c r="E78" s="7">
        <v>0</v>
      </c>
      <c r="F78" s="7">
        <v>19</v>
      </c>
      <c r="G78" s="7">
        <v>0</v>
      </c>
      <c r="H78" s="2" t="s">
        <v>61</v>
      </c>
      <c r="I78" s="8" t="str">
        <f t="shared" si="1"/>
        <v>cloud_ci_demo_basic</v>
      </c>
      <c r="J78" s="2" t="s">
        <v>351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28"/>
  <sheetViews>
    <sheetView topLeftCell="C109" zoomScale="130" zoomScaleNormal="130" workbookViewId="0">
      <selection activeCell="R49" sqref="R49"/>
    </sheetView>
  </sheetViews>
  <sheetFormatPr defaultRowHeight="15" x14ac:dyDescent="0.25"/>
  <cols>
    <col min="1" max="1" width="40" customWidth="1"/>
    <col min="2" max="2" width="120" customWidth="1"/>
    <col min="3" max="4" width="13" customWidth="1"/>
    <col min="5" max="6" width="21" customWidth="1"/>
    <col min="7" max="7" width="18" customWidth="1"/>
    <col min="8" max="8" width="50" customWidth="1"/>
    <col min="9" max="9" width="60" customWidth="1"/>
    <col min="10" max="10" width="2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25">
      <c r="A3" t="s">
        <v>11</v>
      </c>
      <c r="B3" t="s">
        <v>12</v>
      </c>
    </row>
    <row r="4" spans="1:10" x14ac:dyDescent="0.25">
      <c r="A4" s="2" t="s">
        <v>13</v>
      </c>
      <c r="B4" s="2" t="s">
        <v>14</v>
      </c>
      <c r="C4" s="2"/>
      <c r="D4" s="2"/>
      <c r="E4" s="2"/>
      <c r="F4" s="2"/>
      <c r="G4" s="2"/>
      <c r="H4" s="2"/>
      <c r="I4" s="2"/>
      <c r="J4" s="2"/>
    </row>
    <row r="5" spans="1:10" x14ac:dyDescent="0.25">
      <c r="A5" t="s">
        <v>15</v>
      </c>
      <c r="B5" t="s">
        <v>16</v>
      </c>
    </row>
    <row r="6" spans="1:10" x14ac:dyDescent="0.25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x14ac:dyDescent="0.25">
      <c r="A7" t="s">
        <v>17</v>
      </c>
    </row>
    <row r="8" spans="1:10" x14ac:dyDescent="0.25">
      <c r="A8" s="2" t="s">
        <v>18</v>
      </c>
      <c r="B8" s="2" t="s">
        <v>19</v>
      </c>
      <c r="C8" s="2"/>
      <c r="D8" s="2"/>
      <c r="E8" s="2"/>
      <c r="F8" s="2"/>
      <c r="G8" s="2"/>
      <c r="H8" s="2"/>
      <c r="I8" s="2"/>
      <c r="J8" s="2"/>
    </row>
    <row r="9" spans="1:10" x14ac:dyDescent="0.25">
      <c r="A9" t="s">
        <v>20</v>
      </c>
      <c r="B9" t="s">
        <v>21</v>
      </c>
    </row>
    <row r="10" spans="1:10" x14ac:dyDescent="0.25">
      <c r="A10" s="2" t="s">
        <v>22</v>
      </c>
      <c r="B10" s="2" t="s">
        <v>23</v>
      </c>
      <c r="C10" s="2"/>
      <c r="D10" s="2"/>
      <c r="E10" s="2"/>
      <c r="F10" s="2"/>
      <c r="G10" s="2"/>
      <c r="H10" s="2"/>
      <c r="I10" s="2"/>
      <c r="J10" s="2"/>
    </row>
    <row r="11" spans="1:10" x14ac:dyDescent="0.25">
      <c r="A11" t="s">
        <v>24</v>
      </c>
      <c r="B11" t="s">
        <v>25</v>
      </c>
    </row>
    <row r="12" spans="1:10" x14ac:dyDescent="0.25">
      <c r="A12" s="2" t="s">
        <v>26</v>
      </c>
      <c r="B12" s="2" t="s">
        <v>234</v>
      </c>
      <c r="C12" s="2"/>
      <c r="D12" s="2"/>
      <c r="E12" s="2"/>
      <c r="F12" s="2"/>
      <c r="G12" s="2"/>
      <c r="H12" s="2"/>
      <c r="I12" s="2"/>
      <c r="J12" s="2"/>
    </row>
    <row r="13" spans="1:10" x14ac:dyDescent="0.25">
      <c r="A13" t="s">
        <v>30</v>
      </c>
      <c r="B13" t="s">
        <v>31</v>
      </c>
    </row>
    <row r="14" spans="1:10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25">
      <c r="A15" t="s">
        <v>32</v>
      </c>
    </row>
    <row r="16" spans="1:10" x14ac:dyDescent="0.25">
      <c r="A16" s="2" t="s">
        <v>33</v>
      </c>
      <c r="B16" s="2" t="s">
        <v>34</v>
      </c>
      <c r="C16" s="2"/>
      <c r="D16" s="2"/>
      <c r="E16" s="2"/>
      <c r="F16" s="2"/>
      <c r="G16" s="2"/>
      <c r="H16" s="2"/>
      <c r="I16" s="2"/>
      <c r="J16" s="2"/>
    </row>
    <row r="17" spans="1:10" x14ac:dyDescent="0.25">
      <c r="A17" t="s">
        <v>35</v>
      </c>
      <c r="B17" t="s">
        <v>36</v>
      </c>
    </row>
    <row r="18" spans="1:10" x14ac:dyDescent="0.25">
      <c r="A18" s="2" t="s">
        <v>37</v>
      </c>
      <c r="B18" s="2" t="s">
        <v>38</v>
      </c>
      <c r="C18" s="2"/>
      <c r="D18" s="2"/>
      <c r="E18" s="2"/>
      <c r="F18" s="2"/>
      <c r="G18" s="2"/>
      <c r="H18" s="2"/>
      <c r="I18" s="2"/>
      <c r="J18" s="2"/>
    </row>
    <row r="19" spans="1:10" x14ac:dyDescent="0.25">
      <c r="A19" t="s">
        <v>39</v>
      </c>
      <c r="B19" t="s">
        <v>40</v>
      </c>
    </row>
    <row r="20" spans="1:10" x14ac:dyDescent="0.25">
      <c r="A20" s="2" t="s">
        <v>41</v>
      </c>
      <c r="B20" s="2" t="s">
        <v>42</v>
      </c>
      <c r="C20" s="2"/>
      <c r="D20" s="2"/>
      <c r="E20" s="2"/>
      <c r="F20" s="2"/>
      <c r="G20" s="2"/>
      <c r="H20" s="2"/>
      <c r="I20" s="2"/>
      <c r="J20" s="2"/>
    </row>
    <row r="21" spans="1:10" x14ac:dyDescent="0.25">
      <c r="A21" t="s">
        <v>43</v>
      </c>
      <c r="B21" t="s">
        <v>44</v>
      </c>
    </row>
    <row r="22" spans="1:10" x14ac:dyDescent="0.25">
      <c r="A22" s="2" t="s">
        <v>45</v>
      </c>
      <c r="B22" s="2" t="s">
        <v>46</v>
      </c>
      <c r="C22" s="2"/>
      <c r="D22" s="2"/>
      <c r="E22" s="2"/>
      <c r="F22" s="2"/>
      <c r="G22" s="2"/>
      <c r="H22" s="2"/>
      <c r="I22" s="2"/>
      <c r="J22" s="2"/>
    </row>
    <row r="23" spans="1:10" x14ac:dyDescent="0.25">
      <c r="A23" t="s">
        <v>47</v>
      </c>
      <c r="B23" t="s">
        <v>48</v>
      </c>
    </row>
    <row r="24" spans="1:10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25">
      <c r="A25" t="s">
        <v>49</v>
      </c>
      <c r="B25" t="s">
        <v>50</v>
      </c>
      <c r="C25" t="s">
        <v>51</v>
      </c>
      <c r="D25" t="s">
        <v>52</v>
      </c>
      <c r="E25" t="s">
        <v>53</v>
      </c>
      <c r="F25" t="s">
        <v>54</v>
      </c>
      <c r="G25" t="s">
        <v>55</v>
      </c>
      <c r="H25" t="s">
        <v>56</v>
      </c>
      <c r="I25" t="s">
        <v>57</v>
      </c>
      <c r="J25" t="s">
        <v>58</v>
      </c>
    </row>
    <row r="26" spans="1:10" x14ac:dyDescent="0.25">
      <c r="A26" s="2" t="s">
        <v>235</v>
      </c>
      <c r="B26" s="6">
        <v>46199.383553240739</v>
      </c>
      <c r="C26" s="2" t="s">
        <v>60</v>
      </c>
      <c r="D26" s="2" t="b">
        <v>0</v>
      </c>
      <c r="E26" s="7">
        <v>62</v>
      </c>
      <c r="F26" s="7">
        <v>108</v>
      </c>
      <c r="G26" s="7">
        <v>178</v>
      </c>
      <c r="H26" s="2" t="s">
        <v>61</v>
      </c>
      <c r="I26" s="8" t="str">
        <f t="shared" ref="I26:I57" si="0">HYPERLINK("https://github.com/" &amp; "arm-software" &amp; "/" &amp; A26, A26)</f>
        <v>AVH</v>
      </c>
      <c r="J26" s="2" t="s">
        <v>350</v>
      </c>
    </row>
    <row r="27" spans="1:10" x14ac:dyDescent="0.25">
      <c r="A27" t="s">
        <v>236</v>
      </c>
      <c r="B27" s="3">
        <v>46199.372893518521</v>
      </c>
      <c r="C27" t="s">
        <v>60</v>
      </c>
      <c r="D27" t="b">
        <v>0</v>
      </c>
      <c r="E27" s="4"/>
      <c r="F27" s="4"/>
      <c r="G27" s="4"/>
      <c r="H27" t="s">
        <v>63</v>
      </c>
      <c r="I27" s="5" t="str">
        <f t="shared" si="0"/>
        <v>lavatube</v>
      </c>
      <c r="J27" t="s">
        <v>351</v>
      </c>
    </row>
    <row r="28" spans="1:10" x14ac:dyDescent="0.25">
      <c r="A28" s="2" t="s">
        <v>237</v>
      </c>
      <c r="B28" s="6">
        <v>46199.36378472222</v>
      </c>
      <c r="C28" s="2" t="s">
        <v>60</v>
      </c>
      <c r="D28" s="2" t="b">
        <v>0</v>
      </c>
      <c r="E28" s="7"/>
      <c r="F28" s="7"/>
      <c r="G28" s="7"/>
      <c r="H28" s="2" t="s">
        <v>63</v>
      </c>
      <c r="I28" s="8" t="str">
        <f t="shared" si="0"/>
        <v>sysarch-acs</v>
      </c>
      <c r="J28" s="2" t="s">
        <v>351</v>
      </c>
    </row>
    <row r="29" spans="1:10" x14ac:dyDescent="0.25">
      <c r="A29" t="s">
        <v>238</v>
      </c>
      <c r="B29" s="3">
        <v>46199.3593287037</v>
      </c>
      <c r="C29" t="s">
        <v>60</v>
      </c>
      <c r="D29" t="b">
        <v>0</v>
      </c>
      <c r="E29" s="4"/>
      <c r="F29" s="4"/>
      <c r="G29" s="4"/>
      <c r="H29" t="s">
        <v>63</v>
      </c>
      <c r="I29" s="5" t="str">
        <f t="shared" si="0"/>
        <v>armnn</v>
      </c>
      <c r="J29" t="s">
        <v>351</v>
      </c>
    </row>
    <row r="30" spans="1:10" x14ac:dyDescent="0.25">
      <c r="A30" s="2" t="s">
        <v>239</v>
      </c>
      <c r="B30" s="6">
        <v>46199.304293981477</v>
      </c>
      <c r="C30" s="2" t="s">
        <v>60</v>
      </c>
      <c r="D30" s="2" t="b">
        <v>0</v>
      </c>
      <c r="E30" s="7"/>
      <c r="F30" s="7"/>
      <c r="G30" s="7"/>
      <c r="H30" s="2" t="s">
        <v>63</v>
      </c>
      <c r="I30" s="8" t="str">
        <f t="shared" si="0"/>
        <v>gfxreconstruct-arm</v>
      </c>
      <c r="J30" s="2" t="s">
        <v>351</v>
      </c>
    </row>
    <row r="31" spans="1:10" x14ac:dyDescent="0.25">
      <c r="A31" t="s">
        <v>240</v>
      </c>
      <c r="B31" s="3">
        <v>46198.577094907407</v>
      </c>
      <c r="C31" t="s">
        <v>60</v>
      </c>
      <c r="D31" t="b">
        <v>0</v>
      </c>
      <c r="E31" s="4">
        <v>361</v>
      </c>
      <c r="F31" s="4">
        <v>24354</v>
      </c>
      <c r="G31" s="4">
        <v>1411</v>
      </c>
      <c r="H31" t="s">
        <v>61</v>
      </c>
      <c r="I31" s="5" t="str">
        <f t="shared" si="0"/>
        <v>CMSIS-NN</v>
      </c>
      <c r="J31" t="s">
        <v>350</v>
      </c>
    </row>
    <row r="32" spans="1:10" x14ac:dyDescent="0.25">
      <c r="A32" s="2" t="s">
        <v>241</v>
      </c>
      <c r="B32" s="6">
        <v>46198.550127314818</v>
      </c>
      <c r="C32" s="2" t="s">
        <v>60</v>
      </c>
      <c r="D32" s="2" t="b">
        <v>0</v>
      </c>
      <c r="E32" s="7"/>
      <c r="F32" s="7"/>
      <c r="G32" s="7"/>
      <c r="H32" s="2" t="s">
        <v>63</v>
      </c>
      <c r="I32" s="8" t="str">
        <f t="shared" si="0"/>
        <v>spirv-simulator</v>
      </c>
      <c r="J32" s="2" t="s">
        <v>351</v>
      </c>
    </row>
    <row r="33" spans="1:10" x14ac:dyDescent="0.25">
      <c r="A33" t="s">
        <v>242</v>
      </c>
      <c r="B33" s="3">
        <v>46198.491643518522</v>
      </c>
      <c r="C33" t="s">
        <v>60</v>
      </c>
      <c r="D33" t="b">
        <v>0</v>
      </c>
      <c r="E33" s="4"/>
      <c r="F33" s="4"/>
      <c r="G33" s="4"/>
      <c r="H33" t="s">
        <v>63</v>
      </c>
      <c r="I33" s="5" t="str">
        <f t="shared" si="0"/>
        <v>ComputeLibrary</v>
      </c>
      <c r="J33" t="s">
        <v>351</v>
      </c>
    </row>
    <row r="34" spans="1:10" x14ac:dyDescent="0.25">
      <c r="A34" s="2" t="s">
        <v>243</v>
      </c>
      <c r="B34" s="6">
        <v>46198.47351851852</v>
      </c>
      <c r="C34" s="2" t="s">
        <v>60</v>
      </c>
      <c r="D34" s="2" t="b">
        <v>0</v>
      </c>
      <c r="E34" s="7"/>
      <c r="F34" s="7"/>
      <c r="G34" s="7"/>
      <c r="H34" s="2" t="s">
        <v>63</v>
      </c>
      <c r="I34" s="8" t="str">
        <f t="shared" si="0"/>
        <v>lisa</v>
      </c>
      <c r="J34" s="2" t="s">
        <v>351</v>
      </c>
    </row>
    <row r="35" spans="1:10" x14ac:dyDescent="0.25">
      <c r="A35" t="s">
        <v>244</v>
      </c>
      <c r="B35" s="3">
        <v>46198.454016203701</v>
      </c>
      <c r="C35" t="s">
        <v>60</v>
      </c>
      <c r="D35" t="b">
        <v>0</v>
      </c>
      <c r="E35" s="4"/>
      <c r="F35" s="4"/>
      <c r="G35" s="4"/>
      <c r="H35" t="s">
        <v>63</v>
      </c>
      <c r="I35" s="5" t="str">
        <f t="shared" si="0"/>
        <v>arm-systemready</v>
      </c>
      <c r="J35" t="s">
        <v>351</v>
      </c>
    </row>
    <row r="36" spans="1:10" x14ac:dyDescent="0.25">
      <c r="A36" s="2" t="s">
        <v>245</v>
      </c>
      <c r="B36" s="6">
        <v>46198.300868055558</v>
      </c>
      <c r="C36" s="2" t="s">
        <v>60</v>
      </c>
      <c r="D36" s="2" t="b">
        <v>0</v>
      </c>
      <c r="E36" s="7"/>
      <c r="F36" s="7"/>
      <c r="G36" s="7"/>
      <c r="H36" s="2" t="s">
        <v>63</v>
      </c>
      <c r="I36" s="8" t="str">
        <f t="shared" si="0"/>
        <v>VectorSimilarity-for-Arm</v>
      </c>
      <c r="J36" s="2" t="s">
        <v>351</v>
      </c>
    </row>
    <row r="37" spans="1:10" x14ac:dyDescent="0.25">
      <c r="A37" t="s">
        <v>246</v>
      </c>
      <c r="B37" s="3">
        <v>46197.635833333326</v>
      </c>
      <c r="C37" t="s">
        <v>60</v>
      </c>
      <c r="D37" t="b">
        <v>0</v>
      </c>
      <c r="E37" s="4"/>
      <c r="F37" s="4"/>
      <c r="G37" s="4"/>
      <c r="H37" t="s">
        <v>63</v>
      </c>
      <c r="I37" s="5" t="str">
        <f t="shared" si="0"/>
        <v>kleidiai</v>
      </c>
      <c r="J37" t="s">
        <v>351</v>
      </c>
    </row>
    <row r="38" spans="1:10" x14ac:dyDescent="0.25">
      <c r="A38" s="2" t="s">
        <v>247</v>
      </c>
      <c r="B38" s="6">
        <v>46197.617361111108</v>
      </c>
      <c r="C38" s="2" t="s">
        <v>60</v>
      </c>
      <c r="D38" s="2" t="b">
        <v>0</v>
      </c>
      <c r="E38" s="7"/>
      <c r="F38" s="7"/>
      <c r="G38" s="7"/>
      <c r="H38" s="2" t="s">
        <v>63</v>
      </c>
      <c r="I38" s="8" t="str">
        <f t="shared" si="0"/>
        <v>golang-utils</v>
      </c>
      <c r="J38" s="2" t="s">
        <v>351</v>
      </c>
    </row>
    <row r="39" spans="1:10" x14ac:dyDescent="0.25">
      <c r="A39" t="s">
        <v>248</v>
      </c>
      <c r="B39" s="3">
        <v>46197.60601851852</v>
      </c>
      <c r="C39" t="s">
        <v>60</v>
      </c>
      <c r="D39" t="b">
        <v>0</v>
      </c>
      <c r="E39" s="4"/>
      <c r="F39" s="4"/>
      <c r="G39" s="4"/>
      <c r="H39" t="s">
        <v>63</v>
      </c>
      <c r="I39" s="5" t="str">
        <f t="shared" si="0"/>
        <v>sbmr-acs</v>
      </c>
      <c r="J39" t="s">
        <v>351</v>
      </c>
    </row>
    <row r="40" spans="1:10" x14ac:dyDescent="0.25">
      <c r="A40" s="2" t="s">
        <v>249</v>
      </c>
      <c r="B40" s="6">
        <v>46197.588368055563</v>
      </c>
      <c r="C40" s="2" t="s">
        <v>60</v>
      </c>
      <c r="D40" s="2" t="b">
        <v>0</v>
      </c>
      <c r="E40" s="7"/>
      <c r="F40" s="7"/>
      <c r="G40" s="7"/>
      <c r="H40" s="2" t="s">
        <v>63</v>
      </c>
      <c r="I40" s="8" t="str">
        <f t="shared" si="0"/>
        <v>psa-api</v>
      </c>
      <c r="J40" s="2" t="s">
        <v>351</v>
      </c>
    </row>
    <row r="41" spans="1:10" x14ac:dyDescent="0.25">
      <c r="A41" t="s">
        <v>250</v>
      </c>
      <c r="B41" s="3">
        <v>46197.548125000001</v>
      </c>
      <c r="C41" t="s">
        <v>60</v>
      </c>
      <c r="D41" t="b">
        <v>0</v>
      </c>
      <c r="E41" s="4"/>
      <c r="F41" s="4"/>
      <c r="G41" s="4"/>
      <c r="H41" t="s">
        <v>63</v>
      </c>
      <c r="I41" s="5" t="str">
        <f t="shared" si="0"/>
        <v>tracetooltests</v>
      </c>
      <c r="J41" t="s">
        <v>351</v>
      </c>
    </row>
    <row r="42" spans="1:10" x14ac:dyDescent="0.25">
      <c r="A42" s="2" t="s">
        <v>251</v>
      </c>
      <c r="B42" s="6">
        <v>46197.521817129629</v>
      </c>
      <c r="C42" s="2" t="s">
        <v>60</v>
      </c>
      <c r="D42" s="2" t="b">
        <v>0</v>
      </c>
      <c r="E42" s="7"/>
      <c r="F42" s="7"/>
      <c r="G42" s="7"/>
      <c r="H42" s="2" t="s">
        <v>63</v>
      </c>
      <c r="I42" s="8" t="str">
        <f t="shared" si="0"/>
        <v>bob-build</v>
      </c>
      <c r="J42" s="2" t="s">
        <v>351</v>
      </c>
    </row>
    <row r="43" spans="1:10" x14ac:dyDescent="0.25">
      <c r="A43" t="s">
        <v>252</v>
      </c>
      <c r="B43" s="3">
        <v>46197.496006944442</v>
      </c>
      <c r="C43" t="s">
        <v>60</v>
      </c>
      <c r="D43" t="b">
        <v>0</v>
      </c>
      <c r="E43" s="4"/>
      <c r="F43" s="4"/>
      <c r="G43" s="4"/>
      <c r="H43" t="s">
        <v>63</v>
      </c>
      <c r="I43" s="5" t="str">
        <f t="shared" si="0"/>
        <v>libcollector</v>
      </c>
      <c r="J43" t="s">
        <v>351</v>
      </c>
    </row>
    <row r="44" spans="1:10" x14ac:dyDescent="0.25">
      <c r="A44" s="2" t="s">
        <v>253</v>
      </c>
      <c r="B44" s="6">
        <v>46197.312222222223</v>
      </c>
      <c r="C44" s="2" t="s">
        <v>60</v>
      </c>
      <c r="D44" s="2" t="b">
        <v>0</v>
      </c>
      <c r="E44" s="7"/>
      <c r="F44" s="7"/>
      <c r="G44" s="7"/>
      <c r="H44" s="2" t="s">
        <v>63</v>
      </c>
      <c r="I44" s="8" t="str">
        <f t="shared" si="0"/>
        <v>rme-sysarch-acs</v>
      </c>
      <c r="J44" s="2" t="s">
        <v>351</v>
      </c>
    </row>
    <row r="45" spans="1:10" x14ac:dyDescent="0.25">
      <c r="A45" t="s">
        <v>254</v>
      </c>
      <c r="B45" s="3">
        <v>46197.197245370371</v>
      </c>
      <c r="C45" t="s">
        <v>60</v>
      </c>
      <c r="D45" t="b">
        <v>0</v>
      </c>
      <c r="E45" s="4"/>
      <c r="F45" s="4"/>
      <c r="G45" s="4"/>
      <c r="H45" t="s">
        <v>63</v>
      </c>
      <c r="I45" s="5" t="str">
        <f t="shared" si="0"/>
        <v>MDK-Middleware</v>
      </c>
      <c r="J45" t="s">
        <v>352</v>
      </c>
    </row>
    <row r="46" spans="1:10" x14ac:dyDescent="0.25">
      <c r="A46" s="2" t="s">
        <v>255</v>
      </c>
      <c r="B46" s="6">
        <v>46196.545752314807</v>
      </c>
      <c r="C46" s="2" t="s">
        <v>60</v>
      </c>
      <c r="D46" s="2" t="b">
        <v>0</v>
      </c>
      <c r="E46" s="7"/>
      <c r="F46" s="7"/>
      <c r="G46" s="7"/>
      <c r="H46" s="2" t="s">
        <v>63</v>
      </c>
      <c r="I46" s="8" t="str">
        <f t="shared" si="0"/>
        <v>acle</v>
      </c>
      <c r="J46" s="2" t="s">
        <v>351</v>
      </c>
    </row>
    <row r="47" spans="1:10" x14ac:dyDescent="0.25">
      <c r="A47" t="s">
        <v>256</v>
      </c>
      <c r="B47" s="3">
        <v>46196.54042824074</v>
      </c>
      <c r="C47" t="s">
        <v>60</v>
      </c>
      <c r="D47" t="b">
        <v>0</v>
      </c>
      <c r="E47" s="4">
        <v>201</v>
      </c>
      <c r="F47" s="4">
        <v>79</v>
      </c>
      <c r="G47" s="4">
        <v>794</v>
      </c>
      <c r="H47" t="s">
        <v>61</v>
      </c>
      <c r="I47" s="5" t="str">
        <f t="shared" si="0"/>
        <v>CMSIS-DAP</v>
      </c>
      <c r="J47" t="s">
        <v>350</v>
      </c>
    </row>
    <row r="48" spans="1:10" x14ac:dyDescent="0.25">
      <c r="A48" s="2" t="s">
        <v>257</v>
      </c>
      <c r="B48" s="6">
        <v>46196.19494212963</v>
      </c>
      <c r="C48" s="2" t="s">
        <v>60</v>
      </c>
      <c r="D48" s="2" t="b">
        <v>0</v>
      </c>
      <c r="E48" s="7"/>
      <c r="F48" s="7"/>
      <c r="G48" s="7"/>
      <c r="H48" s="2" t="s">
        <v>63</v>
      </c>
      <c r="I48" s="8" t="str">
        <f t="shared" si="0"/>
        <v>arm-trusted-firmware</v>
      </c>
      <c r="J48" s="2" t="s">
        <v>351</v>
      </c>
    </row>
    <row r="49" spans="1:10" x14ac:dyDescent="0.25">
      <c r="A49" t="s">
        <v>258</v>
      </c>
      <c r="B49" s="3">
        <v>46195.967083333337</v>
      </c>
      <c r="C49" t="s">
        <v>60</v>
      </c>
      <c r="D49" t="b">
        <v>0</v>
      </c>
      <c r="E49" s="4">
        <v>955</v>
      </c>
      <c r="F49" s="4">
        <v>18745</v>
      </c>
      <c r="G49" s="4">
        <v>3562</v>
      </c>
      <c r="H49" t="s">
        <v>61</v>
      </c>
      <c r="I49" s="5" t="str">
        <f t="shared" si="0"/>
        <v>CMSIS_6</v>
      </c>
      <c r="J49" t="s">
        <v>350</v>
      </c>
    </row>
    <row r="50" spans="1:10" x14ac:dyDescent="0.25">
      <c r="A50" s="2" t="s">
        <v>259</v>
      </c>
      <c r="B50" s="6">
        <v>46195.919675925928</v>
      </c>
      <c r="C50" s="2" t="s">
        <v>60</v>
      </c>
      <c r="D50" s="2" t="b">
        <v>0</v>
      </c>
      <c r="E50" s="7">
        <v>159</v>
      </c>
      <c r="F50" s="7">
        <v>78</v>
      </c>
      <c r="G50" s="7">
        <v>333</v>
      </c>
      <c r="H50" s="2" t="s">
        <v>61</v>
      </c>
      <c r="I50" s="8" t="str">
        <f t="shared" si="0"/>
        <v>Arm-2D</v>
      </c>
      <c r="J50" s="2" t="s">
        <v>350</v>
      </c>
    </row>
    <row r="51" spans="1:10" x14ac:dyDescent="0.25">
      <c r="A51" t="s">
        <v>260</v>
      </c>
      <c r="B51" s="3">
        <v>46195.815092592587</v>
      </c>
      <c r="C51" t="s">
        <v>60</v>
      </c>
      <c r="D51" t="b">
        <v>0</v>
      </c>
      <c r="E51" s="4">
        <v>251</v>
      </c>
      <c r="F51" s="4">
        <v>449</v>
      </c>
      <c r="G51" s="4">
        <v>1251</v>
      </c>
      <c r="H51" t="s">
        <v>61</v>
      </c>
      <c r="I51" s="5" t="str">
        <f t="shared" si="0"/>
        <v>CMSIS-FreeRTOS</v>
      </c>
      <c r="J51" t="s">
        <v>350</v>
      </c>
    </row>
    <row r="52" spans="1:10" x14ac:dyDescent="0.25">
      <c r="A52" s="2" t="s">
        <v>261</v>
      </c>
      <c r="B52" s="6">
        <v>46195.668946759259</v>
      </c>
      <c r="C52" s="2" t="s">
        <v>60</v>
      </c>
      <c r="D52" s="2" t="b">
        <v>0</v>
      </c>
      <c r="E52" s="7"/>
      <c r="F52" s="7"/>
      <c r="G52" s="7"/>
      <c r="H52" s="2" t="s">
        <v>63</v>
      </c>
      <c r="I52" s="8" t="str">
        <f t="shared" si="0"/>
        <v>astc-encoder</v>
      </c>
      <c r="J52" s="2" t="s">
        <v>351</v>
      </c>
    </row>
    <row r="53" spans="1:10" x14ac:dyDescent="0.25">
      <c r="A53" t="s">
        <v>262</v>
      </c>
      <c r="B53" s="3">
        <v>46195.627245370371</v>
      </c>
      <c r="C53" t="s">
        <v>60</v>
      </c>
      <c r="D53" t="b">
        <v>0</v>
      </c>
      <c r="E53" s="4">
        <v>22</v>
      </c>
      <c r="F53" s="4">
        <v>71</v>
      </c>
      <c r="G53" s="4">
        <v>75</v>
      </c>
      <c r="H53" t="s">
        <v>61</v>
      </c>
      <c r="I53" s="5" t="str">
        <f t="shared" si="0"/>
        <v>CMSIS-RTOS2_Validation</v>
      </c>
      <c r="J53" t="s">
        <v>350</v>
      </c>
    </row>
    <row r="54" spans="1:10" x14ac:dyDescent="0.25">
      <c r="A54" s="2" t="s">
        <v>263</v>
      </c>
      <c r="B54" s="6">
        <v>46195.585821759261</v>
      </c>
      <c r="C54" s="2" t="s">
        <v>60</v>
      </c>
      <c r="D54" s="2" t="b">
        <v>0</v>
      </c>
      <c r="E54" s="7"/>
      <c r="F54" s="7"/>
      <c r="G54" s="7"/>
      <c r="H54" s="2" t="s">
        <v>63</v>
      </c>
      <c r="I54" s="8" t="str">
        <f t="shared" si="0"/>
        <v>Tool-Solutions</v>
      </c>
      <c r="J54" s="2" t="s">
        <v>351</v>
      </c>
    </row>
    <row r="55" spans="1:10" x14ac:dyDescent="0.25">
      <c r="A55" t="s">
        <v>264</v>
      </c>
      <c r="B55" s="3">
        <v>46195.545706018522</v>
      </c>
      <c r="C55" t="s">
        <v>60</v>
      </c>
      <c r="D55" t="b">
        <v>0</v>
      </c>
      <c r="E55" s="4">
        <v>50</v>
      </c>
      <c r="F55" s="4">
        <v>155</v>
      </c>
      <c r="G55" s="4">
        <v>272</v>
      </c>
      <c r="H55" t="s">
        <v>61</v>
      </c>
      <c r="I55" s="5" t="str">
        <f t="shared" si="0"/>
        <v>SDS-Framework</v>
      </c>
      <c r="J55" t="s">
        <v>350</v>
      </c>
    </row>
    <row r="56" spans="1:10" x14ac:dyDescent="0.25">
      <c r="A56" s="2" t="s">
        <v>265</v>
      </c>
      <c r="B56" s="6">
        <v>46195.515902777777</v>
      </c>
      <c r="C56" s="2" t="s">
        <v>60</v>
      </c>
      <c r="D56" s="2" t="b">
        <v>0</v>
      </c>
      <c r="E56" s="7"/>
      <c r="F56" s="7"/>
      <c r="G56" s="7"/>
      <c r="H56" s="2" t="s">
        <v>63</v>
      </c>
      <c r="I56" s="8" t="str">
        <f t="shared" si="0"/>
        <v>cmsis-actions</v>
      </c>
      <c r="J56" s="2" t="s">
        <v>351</v>
      </c>
    </row>
    <row r="57" spans="1:10" x14ac:dyDescent="0.25">
      <c r="A57" t="s">
        <v>266</v>
      </c>
      <c r="B57" s="3">
        <v>46195.495729166672</v>
      </c>
      <c r="C57" t="s">
        <v>60</v>
      </c>
      <c r="D57" t="b">
        <v>0</v>
      </c>
      <c r="E57" s="4">
        <v>80</v>
      </c>
      <c r="F57" s="4">
        <v>166</v>
      </c>
      <c r="G57" s="4">
        <v>289</v>
      </c>
      <c r="H57" t="s">
        <v>61</v>
      </c>
      <c r="I57" s="5" t="str">
        <f t="shared" si="0"/>
        <v>CMSIS-Driver</v>
      </c>
      <c r="J57" t="s">
        <v>350</v>
      </c>
    </row>
    <row r="58" spans="1:10" x14ac:dyDescent="0.25">
      <c r="A58" s="2" t="s">
        <v>267</v>
      </c>
      <c r="B58" s="6">
        <v>46195.394131944442</v>
      </c>
      <c r="C58" s="2" t="s">
        <v>60</v>
      </c>
      <c r="D58" s="2" t="b">
        <v>0</v>
      </c>
      <c r="E58" s="7">
        <v>25</v>
      </c>
      <c r="F58" s="7">
        <v>45</v>
      </c>
      <c r="G58" s="7">
        <v>122</v>
      </c>
      <c r="H58" s="2" t="s">
        <v>61</v>
      </c>
      <c r="I58" s="8" t="str">
        <f t="shared" ref="I58:I89" si="1">HYPERLINK("https://github.com/" &amp; "arm-software" &amp; "/" &amp; A58, A58)</f>
        <v>CMSIS-Driver_Validation</v>
      </c>
      <c r="J58" s="2" t="s">
        <v>350</v>
      </c>
    </row>
    <row r="59" spans="1:10" x14ac:dyDescent="0.25">
      <c r="A59" t="s">
        <v>268</v>
      </c>
      <c r="B59" s="3">
        <v>46195.294351851851</v>
      </c>
      <c r="C59" t="s">
        <v>60</v>
      </c>
      <c r="D59" t="b">
        <v>0</v>
      </c>
      <c r="E59" s="4">
        <v>161</v>
      </c>
      <c r="F59" s="4">
        <v>66</v>
      </c>
      <c r="G59" s="4">
        <v>323</v>
      </c>
      <c r="H59" t="s">
        <v>61</v>
      </c>
      <c r="I59" s="5" t="str">
        <f t="shared" si="1"/>
        <v>CMSIS-Compiler</v>
      </c>
      <c r="J59" t="s">
        <v>350</v>
      </c>
    </row>
    <row r="60" spans="1:10" x14ac:dyDescent="0.25">
      <c r="A60" s="2" t="s">
        <v>269</v>
      </c>
      <c r="B60" s="6">
        <v>46195.279733796298</v>
      </c>
      <c r="C60" s="2" t="s">
        <v>60</v>
      </c>
      <c r="D60" s="2" t="b">
        <v>0</v>
      </c>
      <c r="E60" s="7"/>
      <c r="F60" s="7"/>
      <c r="G60" s="7"/>
      <c r="H60" s="2" t="s">
        <v>63</v>
      </c>
      <c r="I60" s="8" t="str">
        <f t="shared" si="1"/>
        <v>Cortex_DFP</v>
      </c>
      <c r="J60" s="2" t="s">
        <v>352</v>
      </c>
    </row>
    <row r="61" spans="1:10" x14ac:dyDescent="0.25">
      <c r="A61" t="s">
        <v>270</v>
      </c>
      <c r="B61" s="3">
        <v>46195.237754629627</v>
      </c>
      <c r="C61" t="s">
        <v>60</v>
      </c>
      <c r="D61" t="b">
        <v>0</v>
      </c>
      <c r="E61" s="4">
        <v>1129</v>
      </c>
      <c r="F61" s="4">
        <v>2200</v>
      </c>
      <c r="G61" s="4">
        <v>4480</v>
      </c>
      <c r="H61" t="s">
        <v>61</v>
      </c>
      <c r="I61" s="5" t="str">
        <f t="shared" si="1"/>
        <v>CMSIS-DSP</v>
      </c>
      <c r="J61" t="s">
        <v>350</v>
      </c>
    </row>
    <row r="62" spans="1:10" x14ac:dyDescent="0.25">
      <c r="A62" s="2" t="s">
        <v>271</v>
      </c>
      <c r="B62" s="6">
        <v>46195.203263888892</v>
      </c>
      <c r="C62" s="2" t="s">
        <v>60</v>
      </c>
      <c r="D62" s="2" t="b">
        <v>0</v>
      </c>
      <c r="E62" s="7">
        <v>122</v>
      </c>
      <c r="F62" s="7">
        <v>533</v>
      </c>
      <c r="G62" s="7">
        <v>413</v>
      </c>
      <c r="H62" s="2" t="s">
        <v>61</v>
      </c>
      <c r="I62" s="8" t="str">
        <f t="shared" si="1"/>
        <v>CMSIS-RTX</v>
      </c>
      <c r="J62" s="2" t="s">
        <v>350</v>
      </c>
    </row>
    <row r="63" spans="1:10" x14ac:dyDescent="0.25">
      <c r="A63" t="s">
        <v>272</v>
      </c>
      <c r="B63" s="3">
        <v>46192.731087962973</v>
      </c>
      <c r="C63" t="s">
        <v>60</v>
      </c>
      <c r="D63" t="b">
        <v>0</v>
      </c>
      <c r="E63" s="4"/>
      <c r="F63" s="4"/>
      <c r="G63" s="4"/>
      <c r="H63" t="s">
        <v>63</v>
      </c>
      <c r="I63" s="5" t="str">
        <f t="shared" si="1"/>
        <v>embedded-development-services-client-utils</v>
      </c>
      <c r="J63" t="s">
        <v>351</v>
      </c>
    </row>
    <row r="64" spans="1:10" x14ac:dyDescent="0.25">
      <c r="A64" s="2" t="s">
        <v>273</v>
      </c>
      <c r="B64" s="6">
        <v>46191.342731481483</v>
      </c>
      <c r="C64" s="2" t="s">
        <v>60</v>
      </c>
      <c r="D64" s="2" t="b">
        <v>0</v>
      </c>
      <c r="E64" s="7"/>
      <c r="F64" s="7"/>
      <c r="G64" s="7"/>
      <c r="H64" s="2" t="s">
        <v>63</v>
      </c>
      <c r="I64" s="8" t="str">
        <f t="shared" si="1"/>
        <v>optimized-routines</v>
      </c>
      <c r="J64" s="2" t="s">
        <v>351</v>
      </c>
    </row>
    <row r="65" spans="1:10" x14ac:dyDescent="0.25">
      <c r="A65" t="s">
        <v>274</v>
      </c>
      <c r="B65" s="3">
        <v>46184.442719907413</v>
      </c>
      <c r="C65" t="s">
        <v>60</v>
      </c>
      <c r="D65" t="b">
        <v>0</v>
      </c>
      <c r="E65" s="4"/>
      <c r="F65" s="4"/>
      <c r="G65" s="4"/>
      <c r="H65" t="s">
        <v>63</v>
      </c>
      <c r="I65" s="5" t="str">
        <f t="shared" si="1"/>
        <v>bbr-acs</v>
      </c>
      <c r="J65" t="s">
        <v>351</v>
      </c>
    </row>
    <row r="66" spans="1:10" x14ac:dyDescent="0.25">
      <c r="A66" s="2" t="s">
        <v>275</v>
      </c>
      <c r="B66" s="6">
        <v>46183.538344907407</v>
      </c>
      <c r="C66" s="2" t="s">
        <v>60</v>
      </c>
      <c r="D66" s="2" t="b">
        <v>0</v>
      </c>
      <c r="E66" s="7"/>
      <c r="F66" s="7"/>
      <c r="G66" s="7"/>
      <c r="H66" s="2" t="s">
        <v>63</v>
      </c>
      <c r="I66" s="8" t="str">
        <f t="shared" si="1"/>
        <v>zipcontainer</v>
      </c>
      <c r="J66" s="2" t="s">
        <v>351</v>
      </c>
    </row>
    <row r="67" spans="1:10" x14ac:dyDescent="0.25">
      <c r="A67" t="s">
        <v>276</v>
      </c>
      <c r="B67" s="3">
        <v>46183.397673611107</v>
      </c>
      <c r="C67" t="s">
        <v>60</v>
      </c>
      <c r="D67" t="b">
        <v>0</v>
      </c>
      <c r="E67" s="4"/>
      <c r="F67" s="4"/>
      <c r="G67" s="4"/>
      <c r="H67" t="s">
        <v>63</v>
      </c>
      <c r="I67" s="5" t="str">
        <f t="shared" si="1"/>
        <v>labgrid</v>
      </c>
      <c r="J67" t="s">
        <v>351</v>
      </c>
    </row>
    <row r="68" spans="1:10" x14ac:dyDescent="0.25">
      <c r="A68" s="2" t="s">
        <v>277</v>
      </c>
      <c r="B68" s="6">
        <v>46182.069768518522</v>
      </c>
      <c r="C68" s="2" t="s">
        <v>60</v>
      </c>
      <c r="D68" s="2" t="b">
        <v>0</v>
      </c>
      <c r="E68" s="7"/>
      <c r="F68" s="7"/>
      <c r="G68" s="7"/>
      <c r="H68" s="2" t="s">
        <v>63</v>
      </c>
      <c r="I68" s="8" t="str">
        <f t="shared" si="1"/>
        <v>embedded-development-services-client</v>
      </c>
      <c r="J68" s="2" t="s">
        <v>351</v>
      </c>
    </row>
    <row r="69" spans="1:10" x14ac:dyDescent="0.25">
      <c r="A69" t="s">
        <v>278</v>
      </c>
      <c r="B69" s="3">
        <v>46178.797650462962</v>
      </c>
      <c r="C69" t="s">
        <v>60</v>
      </c>
      <c r="D69" t="b">
        <v>0</v>
      </c>
      <c r="E69" s="4"/>
      <c r="F69" s="4"/>
      <c r="G69" s="4"/>
      <c r="H69" t="s">
        <v>63</v>
      </c>
      <c r="I69" s="5" t="str">
        <f t="shared" si="1"/>
        <v>adac-rs</v>
      </c>
      <c r="J69" t="s">
        <v>351</v>
      </c>
    </row>
    <row r="70" spans="1:10" x14ac:dyDescent="0.25">
      <c r="A70" s="2" t="s">
        <v>279</v>
      </c>
      <c r="B70" s="6">
        <v>46178.62877314815</v>
      </c>
      <c r="C70" s="2" t="s">
        <v>60</v>
      </c>
      <c r="D70" s="2" t="b">
        <v>0</v>
      </c>
      <c r="E70" s="7"/>
      <c r="F70" s="7"/>
      <c r="G70" s="7"/>
      <c r="H70" s="2" t="s">
        <v>63</v>
      </c>
      <c r="I70" s="8" t="str">
        <f t="shared" si="1"/>
        <v>tarmac-trace-utilities</v>
      </c>
      <c r="J70" s="2" t="s">
        <v>351</v>
      </c>
    </row>
    <row r="71" spans="1:10" x14ac:dyDescent="0.25">
      <c r="A71" t="s">
        <v>280</v>
      </c>
      <c r="B71" s="3">
        <v>46177.278263888889</v>
      </c>
      <c r="C71" t="s">
        <v>60</v>
      </c>
      <c r="D71" t="b">
        <v>0</v>
      </c>
      <c r="E71" s="4"/>
      <c r="F71" s="4"/>
      <c r="G71" s="4"/>
      <c r="H71" t="s">
        <v>63</v>
      </c>
      <c r="I71" s="5" t="str">
        <f t="shared" si="1"/>
        <v>CMSIS-Stream</v>
      </c>
      <c r="J71" t="s">
        <v>352</v>
      </c>
    </row>
    <row r="72" spans="1:10" x14ac:dyDescent="0.25">
      <c r="A72" s="2" t="s">
        <v>281</v>
      </c>
      <c r="B72" s="6">
        <v>46168.319479166668</v>
      </c>
      <c r="C72" s="2" t="s">
        <v>60</v>
      </c>
      <c r="D72" s="2" t="b">
        <v>0</v>
      </c>
      <c r="E72" s="7"/>
      <c r="F72" s="7"/>
      <c r="G72" s="7"/>
      <c r="H72" s="2" t="s">
        <v>63</v>
      </c>
      <c r="I72" s="8" t="str">
        <f t="shared" si="1"/>
        <v>EndpointAI</v>
      </c>
      <c r="J72" s="2" t="s">
        <v>351</v>
      </c>
    </row>
    <row r="73" spans="1:10" x14ac:dyDescent="0.25">
      <c r="A73" t="s">
        <v>282</v>
      </c>
      <c r="B73" s="3">
        <v>46163.958761574067</v>
      </c>
      <c r="C73" t="s">
        <v>60</v>
      </c>
      <c r="D73" t="b">
        <v>0</v>
      </c>
      <c r="E73" s="4"/>
      <c r="F73" s="4"/>
      <c r="G73" s="4"/>
      <c r="H73" t="s">
        <v>63</v>
      </c>
      <c r="I73" s="5" t="str">
        <f t="shared" si="1"/>
        <v>traceui</v>
      </c>
      <c r="J73" t="s">
        <v>351</v>
      </c>
    </row>
    <row r="74" spans="1:10" x14ac:dyDescent="0.25">
      <c r="A74" s="2" t="s">
        <v>283</v>
      </c>
      <c r="B74" s="6">
        <v>46162.590671296297</v>
      </c>
      <c r="C74" s="2" t="s">
        <v>60</v>
      </c>
      <c r="D74" s="2" t="b">
        <v>0</v>
      </c>
      <c r="E74" s="7"/>
      <c r="F74" s="7"/>
      <c r="G74" s="7"/>
      <c r="H74" s="2" t="s">
        <v>63</v>
      </c>
      <c r="I74" s="8" t="str">
        <f t="shared" si="1"/>
        <v>ebbr</v>
      </c>
      <c r="J74" s="2" t="s">
        <v>351</v>
      </c>
    </row>
    <row r="75" spans="1:10" x14ac:dyDescent="0.25">
      <c r="A75" t="s">
        <v>284</v>
      </c>
      <c r="B75" s="3">
        <v>46156.356180555558</v>
      </c>
      <c r="C75" t="s">
        <v>60</v>
      </c>
      <c r="D75" t="b">
        <v>0</v>
      </c>
      <c r="E75" s="4"/>
      <c r="F75" s="4"/>
      <c r="G75" s="4"/>
      <c r="H75" t="s">
        <v>63</v>
      </c>
      <c r="I75" s="5" t="str">
        <f t="shared" si="1"/>
        <v>CSAL</v>
      </c>
      <c r="J75" t="s">
        <v>351</v>
      </c>
    </row>
    <row r="76" spans="1:10" x14ac:dyDescent="0.25">
      <c r="A76" s="2" t="s">
        <v>285</v>
      </c>
      <c r="B76" s="6">
        <v>46155.345995370371</v>
      </c>
      <c r="C76" s="2" t="s">
        <v>60</v>
      </c>
      <c r="D76" s="2" t="b">
        <v>0</v>
      </c>
      <c r="E76" s="7"/>
      <c r="F76" s="7"/>
      <c r="G76" s="7"/>
      <c r="H76" s="2" t="s">
        <v>63</v>
      </c>
      <c r="I76" s="8" t="str">
        <f t="shared" si="1"/>
        <v>progress64</v>
      </c>
      <c r="J76" s="2" t="s">
        <v>351</v>
      </c>
    </row>
    <row r="77" spans="1:10" x14ac:dyDescent="0.25">
      <c r="A77" t="s">
        <v>286</v>
      </c>
      <c r="B77" s="3">
        <v>46154.475844907407</v>
      </c>
      <c r="C77" t="s">
        <v>60</v>
      </c>
      <c r="D77" t="b">
        <v>0</v>
      </c>
      <c r="E77" s="4"/>
      <c r="F77" s="4"/>
      <c r="G77" s="4"/>
      <c r="H77" t="s">
        <v>63</v>
      </c>
      <c r="I77" s="5" t="str">
        <f t="shared" si="1"/>
        <v>edge-iot-arch-guide</v>
      </c>
      <c r="J77" t="s">
        <v>351</v>
      </c>
    </row>
    <row r="78" spans="1:10" x14ac:dyDescent="0.25">
      <c r="A78" s="2" t="s">
        <v>287</v>
      </c>
      <c r="B78" s="6">
        <v>46150.429988425924</v>
      </c>
      <c r="C78" s="2" t="s">
        <v>60</v>
      </c>
      <c r="D78" s="2" t="b">
        <v>0</v>
      </c>
      <c r="E78" s="7">
        <v>11</v>
      </c>
      <c r="F78" s="7">
        <v>26</v>
      </c>
      <c r="G78" s="7">
        <v>28</v>
      </c>
      <c r="H78" s="2" t="s">
        <v>61</v>
      </c>
      <c r="I78" s="8" t="str">
        <f t="shared" si="1"/>
        <v>ACI-GetStarted</v>
      </c>
      <c r="J78" s="2" t="s">
        <v>350</v>
      </c>
    </row>
    <row r="79" spans="1:10" x14ac:dyDescent="0.25">
      <c r="A79" t="s">
        <v>288</v>
      </c>
      <c r="B79" s="3">
        <v>46150.423113425917</v>
      </c>
      <c r="C79" t="s">
        <v>60</v>
      </c>
      <c r="D79" t="b">
        <v>0</v>
      </c>
      <c r="E79" s="4"/>
      <c r="F79" s="4"/>
      <c r="G79" s="4"/>
      <c r="H79" t="s">
        <v>63</v>
      </c>
      <c r="I79" s="5" t="str">
        <f t="shared" si="1"/>
        <v>libGPUCounters</v>
      </c>
      <c r="J79" t="s">
        <v>351</v>
      </c>
    </row>
    <row r="80" spans="1:10" x14ac:dyDescent="0.25">
      <c r="A80" s="2" t="s">
        <v>289</v>
      </c>
      <c r="B80" s="6">
        <v>46149.270069444443</v>
      </c>
      <c r="C80" s="2" t="s">
        <v>60</v>
      </c>
      <c r="D80" s="2" t="b">
        <v>0</v>
      </c>
      <c r="E80" s="7"/>
      <c r="F80" s="7"/>
      <c r="G80" s="7"/>
      <c r="H80" s="2" t="s">
        <v>63</v>
      </c>
      <c r="I80" s="8" t="str">
        <f t="shared" si="1"/>
        <v>ff-a-acs</v>
      </c>
      <c r="J80" s="2" t="s">
        <v>351</v>
      </c>
    </row>
    <row r="81" spans="1:10" x14ac:dyDescent="0.25">
      <c r="A81" t="s">
        <v>290</v>
      </c>
      <c r="B81" s="3">
        <v>46147.34784722222</v>
      </c>
      <c r="C81" t="s">
        <v>60</v>
      </c>
      <c r="D81" t="b">
        <v>0</v>
      </c>
      <c r="E81" s="4"/>
      <c r="F81" s="4"/>
      <c r="G81" s="4"/>
      <c r="H81" t="s">
        <v>63</v>
      </c>
      <c r="I81" s="5" t="str">
        <f t="shared" si="1"/>
        <v>abi-aa</v>
      </c>
      <c r="J81" t="s">
        <v>351</v>
      </c>
    </row>
    <row r="82" spans="1:10" x14ac:dyDescent="0.25">
      <c r="A82" s="2" t="s">
        <v>291</v>
      </c>
      <c r="B82" s="6">
        <v>46143.644189814811</v>
      </c>
      <c r="C82" s="2" t="s">
        <v>60</v>
      </c>
      <c r="D82" s="2" t="b">
        <v>0</v>
      </c>
      <c r="E82" s="7"/>
      <c r="F82" s="7"/>
      <c r="G82" s="7"/>
      <c r="H82" s="2" t="s">
        <v>63</v>
      </c>
      <c r="I82" s="8" t="str">
        <f t="shared" si="1"/>
        <v>data</v>
      </c>
      <c r="J82" s="2" t="s">
        <v>351</v>
      </c>
    </row>
    <row r="83" spans="1:10" x14ac:dyDescent="0.25">
      <c r="A83" t="s">
        <v>292</v>
      </c>
      <c r="B83" s="3">
        <v>46140.370821759258</v>
      </c>
      <c r="C83" t="s">
        <v>60</v>
      </c>
      <c r="D83" t="b">
        <v>0</v>
      </c>
      <c r="E83" s="4"/>
      <c r="F83" s="4"/>
      <c r="G83" s="4"/>
      <c r="H83" t="s">
        <v>63</v>
      </c>
      <c r="I83" s="5" t="str">
        <f t="shared" si="1"/>
        <v>cca-rmm-acs</v>
      </c>
      <c r="J83" t="s">
        <v>351</v>
      </c>
    </row>
    <row r="84" spans="1:10" x14ac:dyDescent="0.25">
      <c r="A84" s="2" t="s">
        <v>293</v>
      </c>
      <c r="B84" s="6">
        <v>46133.507187499999</v>
      </c>
      <c r="C84" s="2" t="s">
        <v>60</v>
      </c>
      <c r="D84" s="2" t="b">
        <v>0</v>
      </c>
      <c r="E84" s="7"/>
      <c r="F84" s="7"/>
      <c r="G84" s="7"/>
      <c r="H84" s="2" t="s">
        <v>63</v>
      </c>
      <c r="I84" s="8" t="str">
        <f t="shared" si="1"/>
        <v>libGPULayers</v>
      </c>
      <c r="J84" s="2" t="s">
        <v>351</v>
      </c>
    </row>
    <row r="85" spans="1:10" x14ac:dyDescent="0.25">
      <c r="A85" t="s">
        <v>294</v>
      </c>
      <c r="B85" s="3">
        <v>46133.50545138889</v>
      </c>
      <c r="C85" t="s">
        <v>60</v>
      </c>
      <c r="D85" t="b">
        <v>0</v>
      </c>
      <c r="E85" s="4"/>
      <c r="F85" s="4"/>
      <c r="G85" s="4"/>
      <c r="H85" t="s">
        <v>63</v>
      </c>
      <c r="I85" s="5" t="str">
        <f t="shared" si="1"/>
        <v>libGPUInfo</v>
      </c>
      <c r="J85" t="s">
        <v>351</v>
      </c>
    </row>
    <row r="86" spans="1:10" x14ac:dyDescent="0.25">
      <c r="A86" s="2" t="s">
        <v>295</v>
      </c>
      <c r="B86" s="6">
        <v>46133.357847222222</v>
      </c>
      <c r="C86" s="2" t="s">
        <v>60</v>
      </c>
      <c r="D86" s="2" t="b">
        <v>0</v>
      </c>
      <c r="E86" s="7"/>
      <c r="F86" s="7"/>
      <c r="G86" s="7"/>
      <c r="H86" s="2" t="s">
        <v>63</v>
      </c>
      <c r="I86" s="8" t="str">
        <f t="shared" si="1"/>
        <v>Vulkan-Samples</v>
      </c>
      <c r="J86" s="2" t="s">
        <v>351</v>
      </c>
    </row>
    <row r="87" spans="1:10" x14ac:dyDescent="0.25">
      <c r="A87" t="s">
        <v>296</v>
      </c>
      <c r="B87" s="3">
        <v>46132.771782407413</v>
      </c>
      <c r="C87" t="s">
        <v>60</v>
      </c>
      <c r="D87" t="b">
        <v>0</v>
      </c>
      <c r="E87" s="4">
        <v>9</v>
      </c>
      <c r="F87" s="4">
        <v>68</v>
      </c>
      <c r="G87" s="4">
        <v>40</v>
      </c>
      <c r="H87" t="s">
        <v>61</v>
      </c>
      <c r="I87" s="5" t="str">
        <f t="shared" si="1"/>
        <v>CMSIS-CV</v>
      </c>
      <c r="J87" t="s">
        <v>350</v>
      </c>
    </row>
    <row r="88" spans="1:10" x14ac:dyDescent="0.25">
      <c r="A88" s="2" t="s">
        <v>297</v>
      </c>
      <c r="B88" s="6">
        <v>46129.504108796304</v>
      </c>
      <c r="C88" s="2" t="s">
        <v>60</v>
      </c>
      <c r="D88" s="2" t="b">
        <v>0</v>
      </c>
      <c r="E88" s="7"/>
      <c r="F88" s="7"/>
      <c r="G88" s="7"/>
      <c r="H88" s="2" t="s">
        <v>63</v>
      </c>
      <c r="I88" s="8" t="str">
        <f t="shared" si="1"/>
        <v>vscode-device-manager</v>
      </c>
      <c r="J88" s="2" t="s">
        <v>351</v>
      </c>
    </row>
    <row r="89" spans="1:10" x14ac:dyDescent="0.25">
      <c r="A89" t="s">
        <v>298</v>
      </c>
      <c r="B89" s="3">
        <v>46129.396111111113</v>
      </c>
      <c r="C89" t="s">
        <v>60</v>
      </c>
      <c r="D89" t="b">
        <v>0</v>
      </c>
      <c r="E89" s="4"/>
      <c r="F89" s="4"/>
      <c r="G89" s="4"/>
      <c r="H89" t="s">
        <v>63</v>
      </c>
      <c r="I89" s="5" t="str">
        <f t="shared" si="1"/>
        <v>psa-arch-tests</v>
      </c>
      <c r="J89" t="s">
        <v>351</v>
      </c>
    </row>
    <row r="90" spans="1:10" x14ac:dyDescent="0.25">
      <c r="A90" s="2" t="s">
        <v>299</v>
      </c>
      <c r="B90" s="6">
        <v>46128.425162037027</v>
      </c>
      <c r="C90" s="2" t="s">
        <v>60</v>
      </c>
      <c r="D90" s="2" t="b">
        <v>0</v>
      </c>
      <c r="E90" s="7"/>
      <c r="F90" s="7"/>
      <c r="G90" s="7"/>
      <c r="H90" s="2" t="s">
        <v>63</v>
      </c>
      <c r="I90" s="8" t="str">
        <f t="shared" ref="I90:I121" si="2">HYPERLINK("https://github.com/" &amp; "arm-software" &amp; "/" &amp; A90, A90)</f>
        <v>vscode-embedded-debug</v>
      </c>
      <c r="J90" s="2" t="s">
        <v>351</v>
      </c>
    </row>
    <row r="91" spans="1:10" x14ac:dyDescent="0.25">
      <c r="A91" t="s">
        <v>300</v>
      </c>
      <c r="B91" s="3">
        <v>46128.360937500001</v>
      </c>
      <c r="C91" t="s">
        <v>60</v>
      </c>
      <c r="D91" t="b">
        <v>0</v>
      </c>
      <c r="E91" s="4"/>
      <c r="F91" s="4"/>
      <c r="G91" s="4"/>
      <c r="H91" t="s">
        <v>63</v>
      </c>
      <c r="I91" s="5" t="str">
        <f t="shared" si="2"/>
        <v>vscode-arm-debugger</v>
      </c>
      <c r="J91" t="s">
        <v>351</v>
      </c>
    </row>
    <row r="92" spans="1:10" x14ac:dyDescent="0.25">
      <c r="A92" s="2" t="s">
        <v>301</v>
      </c>
      <c r="B92" s="6">
        <v>46125.7812037037</v>
      </c>
      <c r="C92" s="2" t="s">
        <v>60</v>
      </c>
      <c r="D92" s="2" t="b">
        <v>0</v>
      </c>
      <c r="E92" s="7"/>
      <c r="F92" s="7"/>
      <c r="G92" s="7"/>
      <c r="H92" s="2" t="s">
        <v>63</v>
      </c>
      <c r="I92" s="8" t="str">
        <f t="shared" si="2"/>
        <v>gator</v>
      </c>
      <c r="J92" s="2" t="s">
        <v>351</v>
      </c>
    </row>
    <row r="93" spans="1:10" x14ac:dyDescent="0.25">
      <c r="A93" t="s">
        <v>65</v>
      </c>
      <c r="B93" s="3">
        <v>46104.283090277779</v>
      </c>
      <c r="C93" t="s">
        <v>60</v>
      </c>
      <c r="D93" t="b">
        <v>0</v>
      </c>
      <c r="E93" s="4">
        <v>12</v>
      </c>
      <c r="F93" s="4">
        <v>17</v>
      </c>
      <c r="G93" s="4">
        <v>20</v>
      </c>
      <c r="H93" t="s">
        <v>61</v>
      </c>
      <c r="I93" s="5" t="str">
        <f t="shared" si="2"/>
        <v>devtools</v>
      </c>
      <c r="J93" t="s">
        <v>350</v>
      </c>
    </row>
    <row r="94" spans="1:10" x14ac:dyDescent="0.25">
      <c r="A94" s="2" t="s">
        <v>302</v>
      </c>
      <c r="B94" s="6">
        <v>46098.603148148148</v>
      </c>
      <c r="C94" s="2" t="s">
        <v>60</v>
      </c>
      <c r="D94" s="2" t="b">
        <v>0</v>
      </c>
      <c r="E94" s="7">
        <v>4</v>
      </c>
      <c r="F94" s="7">
        <v>23</v>
      </c>
      <c r="G94" s="7">
        <v>8</v>
      </c>
      <c r="H94" s="2" t="s">
        <v>61</v>
      </c>
      <c r="I94" s="8" t="str">
        <f t="shared" si="2"/>
        <v>AVH-MLOps</v>
      </c>
      <c r="J94" s="2" t="s">
        <v>350</v>
      </c>
    </row>
    <row r="95" spans="1:10" x14ac:dyDescent="0.25">
      <c r="A95" t="s">
        <v>303</v>
      </c>
      <c r="B95" s="3">
        <v>46094.726921296293</v>
      </c>
      <c r="C95" t="s">
        <v>60</v>
      </c>
      <c r="D95" t="b">
        <v>0</v>
      </c>
      <c r="E95" s="4"/>
      <c r="F95" s="4"/>
      <c r="G95" s="4"/>
      <c r="H95" t="s">
        <v>63</v>
      </c>
      <c r="I95" s="5" t="str">
        <f t="shared" si="2"/>
        <v>vscode-environment-manager</v>
      </c>
      <c r="J95" t="s">
        <v>351</v>
      </c>
    </row>
    <row r="96" spans="1:10" x14ac:dyDescent="0.25">
      <c r="A96" s="2" t="s">
        <v>304</v>
      </c>
      <c r="B96" s="6">
        <v>46092.75917824074</v>
      </c>
      <c r="C96" s="2" t="s">
        <v>60</v>
      </c>
      <c r="D96" s="2" t="b">
        <v>0</v>
      </c>
      <c r="E96" s="7"/>
      <c r="F96" s="7"/>
      <c r="G96" s="7"/>
      <c r="H96" s="2" t="s">
        <v>63</v>
      </c>
      <c r="I96" s="8" t="str">
        <f t="shared" si="2"/>
        <v>mango</v>
      </c>
      <c r="J96" s="2" t="s">
        <v>351</v>
      </c>
    </row>
    <row r="97" spans="1:10" x14ac:dyDescent="0.25">
      <c r="A97" t="s">
        <v>305</v>
      </c>
      <c r="B97" s="3">
        <v>46087.543773148151</v>
      </c>
      <c r="C97" t="s">
        <v>60</v>
      </c>
      <c r="D97" t="b">
        <v>0</v>
      </c>
      <c r="E97" s="4">
        <v>56</v>
      </c>
      <c r="F97" s="4">
        <v>11913</v>
      </c>
      <c r="G97" s="4">
        <v>82</v>
      </c>
      <c r="H97" t="s">
        <v>61</v>
      </c>
      <c r="I97" s="5" t="str">
        <f t="shared" si="2"/>
        <v>CMSIS-View</v>
      </c>
      <c r="J97" t="s">
        <v>350</v>
      </c>
    </row>
    <row r="98" spans="1:10" x14ac:dyDescent="0.25">
      <c r="A98" s="2" t="s">
        <v>306</v>
      </c>
      <c r="B98" s="6">
        <v>46083.623854166668</v>
      </c>
      <c r="C98" s="2" t="s">
        <v>60</v>
      </c>
      <c r="D98" s="2" t="b">
        <v>0</v>
      </c>
      <c r="E98" s="7"/>
      <c r="F98" s="7"/>
      <c r="G98" s="7"/>
      <c r="H98" s="2" t="s">
        <v>63</v>
      </c>
      <c r="I98" s="8" t="str">
        <f t="shared" si="2"/>
        <v>mram_simulation_framework</v>
      </c>
      <c r="J98" s="2" t="s">
        <v>351</v>
      </c>
    </row>
    <row r="99" spans="1:10" x14ac:dyDescent="0.25">
      <c r="A99" t="s">
        <v>307</v>
      </c>
      <c r="B99" s="3">
        <v>46079.58258101852</v>
      </c>
      <c r="C99" t="s">
        <v>60</v>
      </c>
      <c r="D99" t="b">
        <v>0</v>
      </c>
      <c r="E99" s="4">
        <v>18</v>
      </c>
      <c r="F99" s="4">
        <v>28</v>
      </c>
      <c r="G99" s="4">
        <v>31</v>
      </c>
      <c r="H99" t="s">
        <v>61</v>
      </c>
      <c r="I99" s="5" t="str">
        <f t="shared" si="2"/>
        <v>CMSIS-Zone</v>
      </c>
      <c r="J99" t="s">
        <v>350</v>
      </c>
    </row>
    <row r="100" spans="1:10" x14ac:dyDescent="0.25">
      <c r="A100" s="2" t="s">
        <v>308</v>
      </c>
      <c r="B100" s="6">
        <v>46070.708472222221</v>
      </c>
      <c r="C100" s="2" t="s">
        <v>60</v>
      </c>
      <c r="D100" s="2" t="b">
        <v>0</v>
      </c>
      <c r="E100" s="7"/>
      <c r="F100" s="7"/>
      <c r="G100" s="7"/>
      <c r="H100" s="2" t="s">
        <v>63</v>
      </c>
      <c r="I100" s="8" t="str">
        <f t="shared" si="2"/>
        <v>vscode-keil-studio-pack</v>
      </c>
      <c r="J100" s="2" t="s">
        <v>352</v>
      </c>
    </row>
    <row r="101" spans="1:10" x14ac:dyDescent="0.25">
      <c r="A101" t="s">
        <v>309</v>
      </c>
      <c r="B101" s="3">
        <v>46058.697615740741</v>
      </c>
      <c r="C101" t="s">
        <v>60</v>
      </c>
      <c r="D101" t="b">
        <v>0</v>
      </c>
      <c r="E101" s="4"/>
      <c r="F101" s="4"/>
      <c r="G101" s="4"/>
      <c r="H101" t="s">
        <v>63</v>
      </c>
      <c r="I101" s="5" t="str">
        <f t="shared" si="2"/>
        <v>CMSIS-mbedTLS</v>
      </c>
      <c r="J101" t="s">
        <v>352</v>
      </c>
    </row>
    <row r="102" spans="1:10" x14ac:dyDescent="0.25">
      <c r="A102" s="2" t="s">
        <v>310</v>
      </c>
      <c r="B102" s="6">
        <v>46029.709664351853</v>
      </c>
      <c r="C102" s="2" t="s">
        <v>60</v>
      </c>
      <c r="D102" s="2" t="b">
        <v>0</v>
      </c>
      <c r="E102" s="7"/>
      <c r="F102" s="7"/>
      <c r="G102" s="7"/>
      <c r="H102" s="2" t="s">
        <v>63</v>
      </c>
      <c r="I102" s="8" t="str">
        <f t="shared" si="2"/>
        <v>psa-acs-common-val</v>
      </c>
      <c r="J102" s="2" t="s">
        <v>351</v>
      </c>
    </row>
    <row r="103" spans="1:10" x14ac:dyDescent="0.25">
      <c r="A103" t="s">
        <v>311</v>
      </c>
      <c r="B103" s="3">
        <v>45981.656493055547</v>
      </c>
      <c r="C103" t="s">
        <v>60</v>
      </c>
      <c r="D103" t="b">
        <v>0</v>
      </c>
      <c r="E103" s="4"/>
      <c r="F103" s="4"/>
      <c r="G103" s="4"/>
      <c r="H103" t="s">
        <v>63</v>
      </c>
      <c r="I103" s="5" t="str">
        <f t="shared" si="2"/>
        <v>PAF</v>
      </c>
      <c r="J103" t="s">
        <v>351</v>
      </c>
    </row>
    <row r="104" spans="1:10" x14ac:dyDescent="0.25">
      <c r="A104" s="2" t="s">
        <v>312</v>
      </c>
      <c r="B104" s="6">
        <v>45931.646793981483</v>
      </c>
      <c r="C104" s="2" t="s">
        <v>60</v>
      </c>
      <c r="D104" s="2" t="b">
        <v>0</v>
      </c>
      <c r="E104" s="7"/>
      <c r="F104" s="7"/>
      <c r="G104" s="7"/>
      <c r="H104" s="2" t="s">
        <v>63</v>
      </c>
      <c r="I104" s="8" t="str">
        <f t="shared" si="2"/>
        <v>arm-performance-studio-integration-for-godot</v>
      </c>
      <c r="J104" s="2" t="s">
        <v>351</v>
      </c>
    </row>
    <row r="105" spans="1:10" x14ac:dyDescent="0.25">
      <c r="A105" t="s">
        <v>313</v>
      </c>
      <c r="B105" s="3">
        <v>45922.225891203707</v>
      </c>
      <c r="C105" t="s">
        <v>60</v>
      </c>
      <c r="D105" t="b">
        <v>0</v>
      </c>
      <c r="E105" s="4"/>
      <c r="F105" s="4"/>
      <c r="G105" s="4"/>
      <c r="H105" t="s">
        <v>63</v>
      </c>
      <c r="I105" s="5" t="str">
        <f t="shared" si="2"/>
        <v>vktrace-arm</v>
      </c>
      <c r="J105" t="s">
        <v>351</v>
      </c>
    </row>
    <row r="106" spans="1:10" x14ac:dyDescent="0.25">
      <c r="A106" s="2" t="s">
        <v>314</v>
      </c>
      <c r="B106" s="6">
        <v>45915.479398148149</v>
      </c>
      <c r="C106" s="2" t="s">
        <v>60</v>
      </c>
      <c r="D106" s="2" t="b">
        <v>0</v>
      </c>
      <c r="E106" s="7"/>
      <c r="F106" s="7"/>
      <c r="G106" s="7"/>
      <c r="H106" s="2" t="s">
        <v>63</v>
      </c>
      <c r="I106" s="8" t="str">
        <f t="shared" si="2"/>
        <v>r-profile-user-guide-examples</v>
      </c>
      <c r="J106" s="2" t="s">
        <v>351</v>
      </c>
    </row>
    <row r="107" spans="1:10" x14ac:dyDescent="0.25">
      <c r="A107" t="s">
        <v>315</v>
      </c>
      <c r="B107" s="3">
        <v>45909.619293981479</v>
      </c>
      <c r="C107" t="s">
        <v>60</v>
      </c>
      <c r="D107" t="b">
        <v>0</v>
      </c>
      <c r="E107" s="4"/>
      <c r="F107" s="4"/>
      <c r="G107" s="4"/>
      <c r="H107" t="s">
        <v>63</v>
      </c>
      <c r="I107" s="5" t="str">
        <f t="shared" si="2"/>
        <v>patrace</v>
      </c>
      <c r="J107" t="s">
        <v>351</v>
      </c>
    </row>
    <row r="108" spans="1:10" x14ac:dyDescent="0.25">
      <c r="A108" s="2" t="s">
        <v>316</v>
      </c>
      <c r="B108" s="6">
        <v>45869.900219907409</v>
      </c>
      <c r="C108" s="2" t="s">
        <v>60</v>
      </c>
      <c r="D108" s="2" t="b">
        <v>0</v>
      </c>
      <c r="E108" s="7"/>
      <c r="F108" s="7"/>
      <c r="G108" s="7"/>
      <c r="H108" s="2" t="s">
        <v>63</v>
      </c>
      <c r="I108" s="8" t="str">
        <f t="shared" si="2"/>
        <v>synchronization-benchmarks</v>
      </c>
      <c r="J108" s="2" t="s">
        <v>351</v>
      </c>
    </row>
    <row r="109" spans="1:10" x14ac:dyDescent="0.25">
      <c r="A109" t="s">
        <v>317</v>
      </c>
      <c r="B109" s="3">
        <v>45848.447280092587</v>
      </c>
      <c r="C109" t="s">
        <v>60</v>
      </c>
      <c r="D109" t="b">
        <v>0</v>
      </c>
      <c r="E109" s="4"/>
      <c r="F109" s="4"/>
      <c r="G109" s="4"/>
      <c r="H109" t="s">
        <v>63</v>
      </c>
      <c r="I109" s="5" t="str">
        <f t="shared" si="2"/>
        <v>coresight-wire-protocol</v>
      </c>
      <c r="J109" t="s">
        <v>351</v>
      </c>
    </row>
    <row r="110" spans="1:10" x14ac:dyDescent="0.25">
      <c r="A110" s="2" t="s">
        <v>318</v>
      </c>
      <c r="B110" s="6">
        <v>45812.176805555559</v>
      </c>
      <c r="C110" s="2" t="s">
        <v>60</v>
      </c>
      <c r="D110" s="2" t="b">
        <v>0</v>
      </c>
      <c r="E110" s="7"/>
      <c r="F110" s="7"/>
      <c r="G110" s="7"/>
      <c r="H110" s="2" t="s">
        <v>63</v>
      </c>
      <c r="I110" s="8" t="str">
        <f t="shared" si="2"/>
        <v>infra-microbenchmarks</v>
      </c>
      <c r="J110" s="2" t="s">
        <v>351</v>
      </c>
    </row>
    <row r="111" spans="1:10" x14ac:dyDescent="0.25">
      <c r="A111" t="s">
        <v>319</v>
      </c>
      <c r="B111" s="3">
        <v>45804.427418981482</v>
      </c>
      <c r="C111" t="s">
        <v>60</v>
      </c>
      <c r="D111" t="b">
        <v>0</v>
      </c>
      <c r="E111" s="4"/>
      <c r="F111" s="4"/>
      <c r="G111" s="4"/>
      <c r="H111" t="s">
        <v>63</v>
      </c>
      <c r="I111" s="5" t="str">
        <f t="shared" si="2"/>
        <v>cmsis-pack-eclipse</v>
      </c>
      <c r="J111" t="s">
        <v>351</v>
      </c>
    </row>
    <row r="112" spans="1:10" x14ac:dyDescent="0.25">
      <c r="A112" s="2" t="s">
        <v>320</v>
      </c>
      <c r="B112" s="6">
        <v>45804.391145833331</v>
      </c>
      <c r="C112" s="2" t="s">
        <v>60</v>
      </c>
      <c r="D112" s="2" t="b">
        <v>0</v>
      </c>
      <c r="E112" s="7"/>
      <c r="F112" s="7"/>
      <c r="G112" s="7"/>
      <c r="H112" s="2" t="s">
        <v>63</v>
      </c>
      <c r="I112" s="8" t="str">
        <f t="shared" si="2"/>
        <v>AArch64cryptolib</v>
      </c>
      <c r="J112" s="2" t="s">
        <v>351</v>
      </c>
    </row>
    <row r="113" spans="1:10" x14ac:dyDescent="0.25">
      <c r="A113" t="s">
        <v>321</v>
      </c>
      <c r="B113" s="3">
        <v>45789.574120370373</v>
      </c>
      <c r="C113" t="s">
        <v>60</v>
      </c>
      <c r="D113" t="b">
        <v>0</v>
      </c>
      <c r="E113" s="4"/>
      <c r="F113" s="4"/>
      <c r="G113" s="4"/>
      <c r="H113" t="s">
        <v>63</v>
      </c>
      <c r="I113" s="5" t="str">
        <f t="shared" si="2"/>
        <v>LLVM-embedded-toolchain-for-Arm</v>
      </c>
      <c r="J113" t="s">
        <v>351</v>
      </c>
    </row>
    <row r="114" spans="1:10" x14ac:dyDescent="0.25">
      <c r="A114" s="2" t="s">
        <v>322</v>
      </c>
      <c r="B114" s="6">
        <v>45748.477002314823</v>
      </c>
      <c r="C114" s="2" t="s">
        <v>60</v>
      </c>
      <c r="D114" s="2" t="b">
        <v>0</v>
      </c>
      <c r="E114" s="7"/>
      <c r="F114" s="7"/>
      <c r="G114" s="7"/>
      <c r="H114" s="2" t="s">
        <v>63</v>
      </c>
      <c r="I114" s="8" t="str">
        <f t="shared" si="2"/>
        <v>ethos-n-driver-stack</v>
      </c>
      <c r="J114" s="2" t="s">
        <v>351</v>
      </c>
    </row>
    <row r="115" spans="1:10" x14ac:dyDescent="0.25">
      <c r="A115" t="s">
        <v>323</v>
      </c>
      <c r="B115" s="3">
        <v>45734.753148148149</v>
      </c>
      <c r="C115" t="s">
        <v>60</v>
      </c>
      <c r="D115" t="b">
        <v>0</v>
      </c>
      <c r="E115" s="4"/>
      <c r="F115" s="4"/>
      <c r="G115" s="4"/>
      <c r="H115" t="s">
        <v>63</v>
      </c>
      <c r="I115" s="5" t="str">
        <f t="shared" si="2"/>
        <v>secure-debug-manager</v>
      </c>
      <c r="J115" t="s">
        <v>351</v>
      </c>
    </row>
    <row r="116" spans="1:10" x14ac:dyDescent="0.25">
      <c r="A116" s="2" t="s">
        <v>324</v>
      </c>
      <c r="B116" s="6">
        <v>45707.751030092593</v>
      </c>
      <c r="C116" s="2" t="s">
        <v>60</v>
      </c>
      <c r="D116" s="2" t="b">
        <v>0</v>
      </c>
      <c r="E116" s="7"/>
      <c r="F116" s="7"/>
      <c r="G116" s="7"/>
      <c r="H116" s="2" t="s">
        <v>63</v>
      </c>
      <c r="I116" s="8" t="str">
        <f t="shared" si="2"/>
        <v>android-nn-driver</v>
      </c>
      <c r="J116" s="2" t="s">
        <v>351</v>
      </c>
    </row>
    <row r="117" spans="1:10" x14ac:dyDescent="0.25">
      <c r="A117" t="s">
        <v>325</v>
      </c>
      <c r="B117" s="3">
        <v>45699.393587962957</v>
      </c>
      <c r="C117" t="s">
        <v>60</v>
      </c>
      <c r="D117" t="b">
        <v>0</v>
      </c>
      <c r="E117" s="4"/>
      <c r="F117" s="4"/>
      <c r="G117" s="4"/>
      <c r="H117" t="s">
        <v>63</v>
      </c>
      <c r="I117" s="5" t="str">
        <f t="shared" si="2"/>
        <v>MDK-Toolbox</v>
      </c>
      <c r="J117" t="s">
        <v>351</v>
      </c>
    </row>
    <row r="118" spans="1:10" x14ac:dyDescent="0.25">
      <c r="A118" s="2" t="s">
        <v>326</v>
      </c>
      <c r="B118" s="6">
        <v>45684.283090277779</v>
      </c>
      <c r="C118" s="2" t="s">
        <v>60</v>
      </c>
      <c r="D118" s="2" t="b">
        <v>0</v>
      </c>
      <c r="E118" s="7"/>
      <c r="F118" s="7"/>
      <c r="G118" s="7"/>
      <c r="H118" s="2" t="s">
        <v>63</v>
      </c>
      <c r="I118" s="8" t="str">
        <f t="shared" si="2"/>
        <v>m-profile-user-guide-examples</v>
      </c>
      <c r="J118" s="2" t="s">
        <v>351</v>
      </c>
    </row>
    <row r="119" spans="1:10" x14ac:dyDescent="0.25">
      <c r="A119" t="s">
        <v>327</v>
      </c>
      <c r="B119" s="3">
        <v>45681.569062499999</v>
      </c>
      <c r="C119" t="s">
        <v>60</v>
      </c>
      <c r="D119" t="b">
        <v>0</v>
      </c>
      <c r="E119" s="4"/>
      <c r="F119" s="4"/>
      <c r="G119" s="4"/>
      <c r="H119" t="s">
        <v>63</v>
      </c>
      <c r="I119" s="5" t="str">
        <f t="shared" si="2"/>
        <v>vscode-virtual-hardware</v>
      </c>
      <c r="J119" t="s">
        <v>351</v>
      </c>
    </row>
    <row r="120" spans="1:10" x14ac:dyDescent="0.25">
      <c r="A120" s="2" t="s">
        <v>328</v>
      </c>
      <c r="B120" s="6">
        <v>45644.706087962957</v>
      </c>
      <c r="C120" s="2" t="s">
        <v>60</v>
      </c>
      <c r="D120" s="2" t="b">
        <v>0</v>
      </c>
      <c r="E120" s="7"/>
      <c r="F120" s="7"/>
      <c r="G120" s="7"/>
      <c r="H120" s="2" t="s">
        <v>63</v>
      </c>
      <c r="I120" s="8" t="str">
        <f t="shared" si="2"/>
        <v>vscode-remote-build</v>
      </c>
      <c r="J120" s="2" t="s">
        <v>351</v>
      </c>
    </row>
    <row r="121" spans="1:10" x14ac:dyDescent="0.25">
      <c r="A121" t="s">
        <v>329</v>
      </c>
      <c r="B121" s="3">
        <v>45639.374421296299</v>
      </c>
      <c r="C121" t="s">
        <v>60</v>
      </c>
      <c r="D121" t="b">
        <v>0</v>
      </c>
      <c r="E121" s="4"/>
      <c r="F121" s="4"/>
      <c r="G121" s="4"/>
      <c r="H121" t="s">
        <v>63</v>
      </c>
      <c r="I121" s="5" t="str">
        <f t="shared" si="2"/>
        <v>avhclient</v>
      </c>
      <c r="J121" t="s">
        <v>351</v>
      </c>
    </row>
    <row r="122" spans="1:10" x14ac:dyDescent="0.25">
      <c r="A122" s="2" t="s">
        <v>92</v>
      </c>
      <c r="B122" s="6">
        <v>45628.564351851863</v>
      </c>
      <c r="C122" s="2" t="s">
        <v>60</v>
      </c>
      <c r="D122" s="2" t="b">
        <v>0</v>
      </c>
      <c r="E122" s="7"/>
      <c r="F122" s="7"/>
      <c r="G122" s="7"/>
      <c r="H122" s="2" t="s">
        <v>63</v>
      </c>
      <c r="I122" s="8" t="str">
        <f t="shared" ref="I122:I128" si="3">HYPERLINK("https://github.com/" &amp; "arm-software" &amp; "/" &amp; A122, A122)</f>
        <v>.github</v>
      </c>
      <c r="J122" s="2" t="s">
        <v>351</v>
      </c>
    </row>
    <row r="123" spans="1:10" x14ac:dyDescent="0.25">
      <c r="A123" t="s">
        <v>330</v>
      </c>
      <c r="B123" s="3">
        <v>45595.29828703704</v>
      </c>
      <c r="C123" t="s">
        <v>60</v>
      </c>
      <c r="D123" t="b">
        <v>0</v>
      </c>
      <c r="E123" s="4"/>
      <c r="F123" s="4"/>
      <c r="G123" s="4"/>
      <c r="H123" t="s">
        <v>63</v>
      </c>
      <c r="I123" s="5" t="str">
        <f t="shared" si="3"/>
        <v>PMUv3_plugin</v>
      </c>
      <c r="J123" t="s">
        <v>351</v>
      </c>
    </row>
    <row r="124" spans="1:10" x14ac:dyDescent="0.25">
      <c r="A124" s="2" t="s">
        <v>331</v>
      </c>
      <c r="B124" s="6">
        <v>45582.437951388893</v>
      </c>
      <c r="C124" s="2" t="s">
        <v>60</v>
      </c>
      <c r="D124" s="2" t="b">
        <v>0</v>
      </c>
      <c r="E124" s="7"/>
      <c r="F124" s="7"/>
      <c r="G124" s="7"/>
      <c r="H124" s="2" t="s">
        <v>63</v>
      </c>
      <c r="I124" s="8" t="str">
        <f t="shared" si="3"/>
        <v>llram-kernel-driver-for-Cortex-R</v>
      </c>
      <c r="J124" s="2" t="s">
        <v>351</v>
      </c>
    </row>
    <row r="125" spans="1:10" x14ac:dyDescent="0.25">
      <c r="A125" t="s">
        <v>332</v>
      </c>
      <c r="B125" s="3">
        <v>45573.576539351852</v>
      </c>
      <c r="C125" t="s">
        <v>60</v>
      </c>
      <c r="D125" t="b">
        <v>0</v>
      </c>
      <c r="E125" s="4"/>
      <c r="F125" s="4"/>
      <c r="G125" s="4"/>
      <c r="H125" t="s">
        <v>63</v>
      </c>
      <c r="I125" s="5" t="str">
        <f t="shared" si="3"/>
        <v>opengl-es-sdk-for-android</v>
      </c>
      <c r="J125" t="s">
        <v>351</v>
      </c>
    </row>
    <row r="126" spans="1:10" x14ac:dyDescent="0.25">
      <c r="A126" s="2" t="s">
        <v>333</v>
      </c>
      <c r="B126" s="6">
        <v>45553.51059027778</v>
      </c>
      <c r="C126" s="2" t="s">
        <v>60</v>
      </c>
      <c r="D126" s="2" t="b">
        <v>0</v>
      </c>
      <c r="E126" s="7"/>
      <c r="F126" s="7"/>
      <c r="G126" s="7"/>
      <c r="H126" s="2" t="s">
        <v>63</v>
      </c>
      <c r="I126" s="8" t="str">
        <f t="shared" si="3"/>
        <v>libGPUMan</v>
      </c>
      <c r="J126" s="2" t="s">
        <v>351</v>
      </c>
    </row>
    <row r="127" spans="1:10" x14ac:dyDescent="0.25">
      <c r="A127" t="s">
        <v>334</v>
      </c>
      <c r="B127" s="3">
        <v>45510.612557870372</v>
      </c>
      <c r="C127" t="s">
        <v>60</v>
      </c>
      <c r="D127" t="b">
        <v>0</v>
      </c>
      <c r="E127" s="4"/>
      <c r="F127" s="4"/>
      <c r="G127" s="4"/>
      <c r="H127" t="s">
        <v>63</v>
      </c>
      <c r="I127" s="5" t="str">
        <f t="shared" si="3"/>
        <v>vulkan_best_practice_for_mobile_developers</v>
      </c>
      <c r="J127" t="s">
        <v>351</v>
      </c>
    </row>
    <row r="128" spans="1:10" x14ac:dyDescent="0.25">
      <c r="A128" s="2" t="s">
        <v>335</v>
      </c>
      <c r="B128" s="6">
        <v>45457.419432870367</v>
      </c>
      <c r="C128" s="2" t="s">
        <v>60</v>
      </c>
      <c r="D128" s="2" t="b">
        <v>0</v>
      </c>
      <c r="E128" s="7"/>
      <c r="F128" s="7"/>
      <c r="G128" s="7"/>
      <c r="H128" s="2" t="s">
        <v>63</v>
      </c>
      <c r="I128" s="8" t="str">
        <f t="shared" si="3"/>
        <v>Streamline</v>
      </c>
      <c r="J128" s="2" t="s">
        <v>351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8"/>
  <sheetViews>
    <sheetView topLeftCell="A7" zoomScaleNormal="100" workbookViewId="0">
      <selection activeCell="C17" sqref="C17"/>
    </sheetView>
  </sheetViews>
  <sheetFormatPr defaultRowHeight="15" x14ac:dyDescent="0.25"/>
  <cols>
    <col min="1" max="1" width="40" customWidth="1"/>
    <col min="2" max="2" width="120" customWidth="1"/>
    <col min="3" max="4" width="13" customWidth="1"/>
    <col min="5" max="6" width="21" customWidth="1"/>
    <col min="7" max="7" width="18" customWidth="1"/>
    <col min="8" max="8" width="50" customWidth="1"/>
    <col min="9" max="9" width="60" customWidth="1"/>
    <col min="10" max="10" width="2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25">
      <c r="A3" t="s">
        <v>11</v>
      </c>
      <c r="B3" t="s">
        <v>12</v>
      </c>
    </row>
    <row r="4" spans="1:10" x14ac:dyDescent="0.25">
      <c r="A4" s="2" t="s">
        <v>13</v>
      </c>
      <c r="B4" s="2" t="s">
        <v>14</v>
      </c>
      <c r="C4" s="2"/>
      <c r="D4" s="2"/>
      <c r="E4" s="2"/>
      <c r="F4" s="2"/>
      <c r="G4" s="2"/>
      <c r="H4" s="2"/>
      <c r="I4" s="2"/>
      <c r="J4" s="2"/>
    </row>
    <row r="5" spans="1:10" x14ac:dyDescent="0.25">
      <c r="A5" t="s">
        <v>15</v>
      </c>
      <c r="B5" t="s">
        <v>16</v>
      </c>
    </row>
    <row r="6" spans="1:10" x14ac:dyDescent="0.25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x14ac:dyDescent="0.25">
      <c r="A7" t="s">
        <v>17</v>
      </c>
    </row>
    <row r="8" spans="1:10" x14ac:dyDescent="0.25">
      <c r="A8" s="2" t="s">
        <v>18</v>
      </c>
      <c r="B8" s="2" t="s">
        <v>19</v>
      </c>
      <c r="C8" s="2"/>
      <c r="D8" s="2"/>
      <c r="E8" s="2"/>
      <c r="F8" s="2"/>
      <c r="G8" s="2"/>
      <c r="H8" s="2"/>
      <c r="I8" s="2"/>
      <c r="J8" s="2"/>
    </row>
    <row r="9" spans="1:10" x14ac:dyDescent="0.25">
      <c r="A9" t="s">
        <v>20</v>
      </c>
      <c r="B9" t="s">
        <v>21</v>
      </c>
    </row>
    <row r="10" spans="1:10" x14ac:dyDescent="0.25">
      <c r="A10" s="2" t="s">
        <v>22</v>
      </c>
      <c r="B10" s="2" t="s">
        <v>23</v>
      </c>
      <c r="C10" s="2"/>
      <c r="D10" s="2"/>
      <c r="E10" s="2"/>
      <c r="F10" s="2"/>
      <c r="G10" s="2"/>
      <c r="H10" s="2"/>
      <c r="I10" s="2"/>
      <c r="J10" s="2"/>
    </row>
    <row r="11" spans="1:10" x14ac:dyDescent="0.25">
      <c r="A11" t="s">
        <v>24</v>
      </c>
      <c r="B11" t="s">
        <v>25</v>
      </c>
    </row>
    <row r="12" spans="1:10" x14ac:dyDescent="0.25">
      <c r="A12" s="2" t="s">
        <v>26</v>
      </c>
      <c r="B12" s="2" t="s">
        <v>336</v>
      </c>
      <c r="C12" s="2"/>
      <c r="D12" s="2"/>
      <c r="E12" s="2"/>
      <c r="F12" s="2"/>
      <c r="G12" s="2"/>
      <c r="H12" s="2"/>
      <c r="I12" s="2"/>
      <c r="J12" s="2"/>
    </row>
    <row r="13" spans="1:10" x14ac:dyDescent="0.25">
      <c r="A13" t="s">
        <v>30</v>
      </c>
      <c r="B13" t="s">
        <v>31</v>
      </c>
    </row>
    <row r="14" spans="1:10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25">
      <c r="A15" t="s">
        <v>32</v>
      </c>
    </row>
    <row r="16" spans="1:10" x14ac:dyDescent="0.25">
      <c r="A16" s="2" t="s">
        <v>33</v>
      </c>
      <c r="B16" s="2" t="s">
        <v>34</v>
      </c>
      <c r="C16" s="2"/>
      <c r="D16" s="2"/>
      <c r="E16" s="2"/>
      <c r="F16" s="2"/>
      <c r="G16" s="2"/>
      <c r="H16" s="2"/>
      <c r="I16" s="2"/>
      <c r="J16" s="2"/>
    </row>
    <row r="17" spans="1:10" x14ac:dyDescent="0.25">
      <c r="A17" t="s">
        <v>35</v>
      </c>
      <c r="B17" t="s">
        <v>36</v>
      </c>
    </row>
    <row r="18" spans="1:10" x14ac:dyDescent="0.25">
      <c r="A18" s="2" t="s">
        <v>37</v>
      </c>
      <c r="B18" s="2" t="s">
        <v>38</v>
      </c>
      <c r="C18" s="2"/>
      <c r="D18" s="2"/>
      <c r="E18" s="2"/>
      <c r="F18" s="2"/>
      <c r="G18" s="2"/>
      <c r="H18" s="2"/>
      <c r="I18" s="2"/>
      <c r="J18" s="2"/>
    </row>
    <row r="19" spans="1:10" x14ac:dyDescent="0.25">
      <c r="A19" t="s">
        <v>39</v>
      </c>
      <c r="B19" t="s">
        <v>40</v>
      </c>
    </row>
    <row r="20" spans="1:10" x14ac:dyDescent="0.25">
      <c r="A20" s="2" t="s">
        <v>41</v>
      </c>
      <c r="B20" s="2" t="s">
        <v>42</v>
      </c>
      <c r="C20" s="2"/>
      <c r="D20" s="2"/>
      <c r="E20" s="2"/>
      <c r="F20" s="2"/>
      <c r="G20" s="2"/>
      <c r="H20" s="2"/>
      <c r="I20" s="2"/>
      <c r="J20" s="2"/>
    </row>
    <row r="21" spans="1:10" x14ac:dyDescent="0.25">
      <c r="A21" t="s">
        <v>43</v>
      </c>
      <c r="B21" t="s">
        <v>44</v>
      </c>
    </row>
    <row r="22" spans="1:10" x14ac:dyDescent="0.25">
      <c r="A22" s="2" t="s">
        <v>45</v>
      </c>
      <c r="B22" s="2" t="s">
        <v>46</v>
      </c>
      <c r="C22" s="2"/>
      <c r="D22" s="2"/>
      <c r="E22" s="2"/>
      <c r="F22" s="2"/>
      <c r="G22" s="2"/>
      <c r="H22" s="2"/>
      <c r="I22" s="2"/>
      <c r="J22" s="2"/>
    </row>
    <row r="23" spans="1:10" x14ac:dyDescent="0.25">
      <c r="A23" t="s">
        <v>47</v>
      </c>
      <c r="B23" t="s">
        <v>48</v>
      </c>
    </row>
    <row r="24" spans="1:10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25">
      <c r="A25" t="s">
        <v>49</v>
      </c>
      <c r="B25" t="s">
        <v>50</v>
      </c>
      <c r="C25" t="s">
        <v>51</v>
      </c>
      <c r="D25" t="s">
        <v>52</v>
      </c>
      <c r="E25" t="s">
        <v>53</v>
      </c>
      <c r="F25" t="s">
        <v>54</v>
      </c>
      <c r="G25" t="s">
        <v>55</v>
      </c>
      <c r="H25" t="s">
        <v>56</v>
      </c>
      <c r="I25" t="s">
        <v>57</v>
      </c>
      <c r="J25" t="s">
        <v>58</v>
      </c>
    </row>
    <row r="26" spans="1:10" x14ac:dyDescent="0.25">
      <c r="A26" s="2" t="s">
        <v>337</v>
      </c>
      <c r="B26" s="6">
        <v>46191.365706018521</v>
      </c>
      <c r="C26" s="2" t="s">
        <v>60</v>
      </c>
      <c r="D26" s="2" t="b">
        <v>0</v>
      </c>
      <c r="E26" s="7">
        <v>9</v>
      </c>
      <c r="F26" s="7">
        <v>82</v>
      </c>
      <c r="G26" s="7">
        <v>245</v>
      </c>
      <c r="H26" s="2" t="s">
        <v>61</v>
      </c>
      <c r="I26" s="8" t="str">
        <f t="shared" ref="I26:I38" si="0">HYPERLINK("https://github.com/" &amp; "mdk-packs" &amp; "/" &amp; A26, A26)</f>
        <v>IoT_Socket</v>
      </c>
      <c r="J26" s="2" t="s">
        <v>350</v>
      </c>
    </row>
    <row r="27" spans="1:10" x14ac:dyDescent="0.25">
      <c r="A27" t="s">
        <v>338</v>
      </c>
      <c r="B27" s="3">
        <v>46181.426435185182</v>
      </c>
      <c r="C27" t="s">
        <v>60</v>
      </c>
      <c r="D27" t="b">
        <v>0</v>
      </c>
      <c r="E27" s="4">
        <v>17</v>
      </c>
      <c r="F27" s="4">
        <v>32</v>
      </c>
      <c r="G27" s="4">
        <v>73</v>
      </c>
      <c r="H27" t="s">
        <v>61</v>
      </c>
      <c r="I27" s="5" t="str">
        <f t="shared" si="0"/>
        <v>tensorflow-pack</v>
      </c>
      <c r="J27" t="s">
        <v>350</v>
      </c>
    </row>
    <row r="28" spans="1:10" x14ac:dyDescent="0.25">
      <c r="A28" s="2" t="s">
        <v>339</v>
      </c>
      <c r="B28" s="6">
        <v>46177.522662037038</v>
      </c>
      <c r="C28" s="2" t="s">
        <v>60</v>
      </c>
      <c r="D28" s="2" t="b">
        <v>0</v>
      </c>
      <c r="E28" s="7">
        <v>19</v>
      </c>
      <c r="F28" s="7">
        <v>23</v>
      </c>
      <c r="G28" s="7">
        <v>44</v>
      </c>
      <c r="H28" s="2" t="s">
        <v>61</v>
      </c>
      <c r="I28" s="8" t="str">
        <f t="shared" si="0"/>
        <v>Pack</v>
      </c>
      <c r="J28" s="2" t="s">
        <v>350</v>
      </c>
    </row>
    <row r="29" spans="1:10" x14ac:dyDescent="0.25">
      <c r="A29" t="s">
        <v>340</v>
      </c>
      <c r="B29" s="3">
        <v>46177.483055555553</v>
      </c>
      <c r="C29" t="s">
        <v>60</v>
      </c>
      <c r="D29" t="b">
        <v>0</v>
      </c>
      <c r="E29" s="4">
        <v>2</v>
      </c>
      <c r="F29" s="4">
        <v>24</v>
      </c>
      <c r="G29" s="4">
        <v>3</v>
      </c>
      <c r="H29" t="s">
        <v>61</v>
      </c>
      <c r="I29" s="5" t="str">
        <f t="shared" si="0"/>
        <v>MIMXRT1064-EVK_BSP</v>
      </c>
      <c r="J29" t="s">
        <v>350</v>
      </c>
    </row>
    <row r="30" spans="1:10" x14ac:dyDescent="0.25">
      <c r="A30" s="2" t="s">
        <v>341</v>
      </c>
      <c r="B30" s="6">
        <v>46125.591828703713</v>
      </c>
      <c r="C30" s="2" t="s">
        <v>60</v>
      </c>
      <c r="D30" s="2" t="b">
        <v>0</v>
      </c>
      <c r="E30" s="7">
        <v>9</v>
      </c>
      <c r="F30" s="7">
        <v>21</v>
      </c>
      <c r="G30" s="7">
        <v>25</v>
      </c>
      <c r="H30" s="2" t="s">
        <v>61</v>
      </c>
      <c r="I30" s="8" t="str">
        <f t="shared" si="0"/>
        <v>vscode-cmsis-solution-docs</v>
      </c>
      <c r="J30" s="2" t="s">
        <v>350</v>
      </c>
    </row>
    <row r="31" spans="1:10" x14ac:dyDescent="0.25">
      <c r="A31" t="s">
        <v>342</v>
      </c>
      <c r="B31" s="3">
        <v>46065.569444444453</v>
      </c>
      <c r="C31" t="s">
        <v>60</v>
      </c>
      <c r="D31" t="b">
        <v>0</v>
      </c>
      <c r="E31" s="4">
        <v>3</v>
      </c>
      <c r="F31" s="4">
        <v>19</v>
      </c>
      <c r="G31" s="4">
        <v>15</v>
      </c>
      <c r="H31" t="s">
        <v>61</v>
      </c>
      <c r="I31" s="5" t="str">
        <f t="shared" si="0"/>
        <v>Documentation</v>
      </c>
      <c r="J31" t="s">
        <v>350</v>
      </c>
    </row>
    <row r="32" spans="1:10" x14ac:dyDescent="0.25">
      <c r="A32" s="2" t="s">
        <v>343</v>
      </c>
      <c r="B32" s="6">
        <v>45999.414143518523</v>
      </c>
      <c r="C32" s="2" t="s">
        <v>60</v>
      </c>
      <c r="D32" s="2" t="b">
        <v>0</v>
      </c>
      <c r="E32" s="7">
        <v>1</v>
      </c>
      <c r="F32" s="7">
        <v>17</v>
      </c>
      <c r="G32" s="7">
        <v>1</v>
      </c>
      <c r="H32" s="2" t="s">
        <v>61</v>
      </c>
      <c r="I32" s="8" t="str">
        <f t="shared" si="0"/>
        <v>TinyCBOR</v>
      </c>
      <c r="J32" s="2" t="s">
        <v>350</v>
      </c>
    </row>
    <row r="33" spans="1:10" x14ac:dyDescent="0.25">
      <c r="A33" t="s">
        <v>344</v>
      </c>
      <c r="B33" s="3">
        <v>45958.433703703697</v>
      </c>
      <c r="C33" t="s">
        <v>60</v>
      </c>
      <c r="D33" t="b">
        <v>0</v>
      </c>
      <c r="E33" s="4">
        <v>1</v>
      </c>
      <c r="F33" s="4">
        <v>31</v>
      </c>
      <c r="G33" s="4">
        <v>1</v>
      </c>
      <c r="H33" t="s">
        <v>61</v>
      </c>
      <c r="I33" s="5" t="str">
        <f t="shared" si="0"/>
        <v>Keil_Studio_FAE_Training</v>
      </c>
      <c r="J33" t="s">
        <v>350</v>
      </c>
    </row>
    <row r="34" spans="1:10" x14ac:dyDescent="0.25">
      <c r="A34" s="2" t="s">
        <v>345</v>
      </c>
      <c r="B34" s="6">
        <v>45908.27715277778</v>
      </c>
      <c r="C34" s="2" t="s">
        <v>60</v>
      </c>
      <c r="D34" s="2" t="b">
        <v>0</v>
      </c>
      <c r="E34" s="7">
        <v>3</v>
      </c>
      <c r="F34" s="7">
        <v>19</v>
      </c>
      <c r="G34" s="7">
        <v>3</v>
      </c>
      <c r="H34" s="2" t="s">
        <v>61</v>
      </c>
      <c r="I34" s="8" t="str">
        <f t="shared" si="0"/>
        <v>QCA400x_Host_Driver_SDK</v>
      </c>
      <c r="J34" s="2" t="s">
        <v>350</v>
      </c>
    </row>
    <row r="35" spans="1:10" x14ac:dyDescent="0.25">
      <c r="A35" t="s">
        <v>346</v>
      </c>
      <c r="B35" s="3">
        <v>45719.355439814812</v>
      </c>
      <c r="C35" t="s">
        <v>60</v>
      </c>
      <c r="D35" t="b">
        <v>0</v>
      </c>
      <c r="E35" s="4">
        <v>0</v>
      </c>
      <c r="F35" s="4">
        <v>16</v>
      </c>
      <c r="G35" s="4">
        <v>0</v>
      </c>
      <c r="H35" t="s">
        <v>61</v>
      </c>
      <c r="I35" s="5" t="str">
        <f t="shared" si="0"/>
        <v>iENBL-DK_BSP</v>
      </c>
      <c r="J35" t="s">
        <v>350</v>
      </c>
    </row>
    <row r="36" spans="1:10" x14ac:dyDescent="0.25">
      <c r="A36" s="2" t="s">
        <v>347</v>
      </c>
      <c r="B36" s="6">
        <v>45719.342974537038</v>
      </c>
      <c r="C36" s="2" t="s">
        <v>60</v>
      </c>
      <c r="D36" s="2" t="b">
        <v>0</v>
      </c>
      <c r="E36" s="7">
        <v>3</v>
      </c>
      <c r="F36" s="7">
        <v>16</v>
      </c>
      <c r="G36" s="7">
        <v>3</v>
      </c>
      <c r="H36" s="2" t="s">
        <v>61</v>
      </c>
      <c r="I36" s="8" t="str">
        <f t="shared" si="0"/>
        <v>LPCXpresso55S69_BSP</v>
      </c>
      <c r="J36" s="2" t="s">
        <v>350</v>
      </c>
    </row>
    <row r="37" spans="1:10" x14ac:dyDescent="0.25">
      <c r="A37" t="s">
        <v>348</v>
      </c>
      <c r="B37" s="3">
        <v>45709.507800925923</v>
      </c>
      <c r="C37" t="s">
        <v>60</v>
      </c>
      <c r="D37" t="b">
        <v>0</v>
      </c>
      <c r="E37" s="4">
        <v>0</v>
      </c>
      <c r="F37" s="4">
        <v>17</v>
      </c>
      <c r="G37" s="4">
        <v>0</v>
      </c>
      <c r="H37" t="s">
        <v>61</v>
      </c>
      <c r="I37" s="5" t="str">
        <f t="shared" si="0"/>
        <v>vscode-cmsis-debug-extension-docs</v>
      </c>
      <c r="J37" t="s">
        <v>351</v>
      </c>
    </row>
    <row r="38" spans="1:10" x14ac:dyDescent="0.25">
      <c r="A38" s="2" t="s">
        <v>349</v>
      </c>
      <c r="B38" s="6">
        <v>45455.456805555557</v>
      </c>
      <c r="C38" s="2" t="s">
        <v>60</v>
      </c>
      <c r="D38" s="2" t="b">
        <v>0</v>
      </c>
      <c r="E38" s="7">
        <v>1</v>
      </c>
      <c r="F38" s="7">
        <v>19</v>
      </c>
      <c r="G38" s="7">
        <v>1</v>
      </c>
      <c r="H38" s="2" t="s">
        <v>61</v>
      </c>
      <c r="I38" s="8" t="str">
        <f t="shared" si="0"/>
        <v>IMXRT1050-EVKB_BSP</v>
      </c>
      <c r="J38" s="2" t="s">
        <v>350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open-cmisis-pack_raw_list</vt:lpstr>
      <vt:lpstr>arm-examples_raw_list</vt:lpstr>
      <vt:lpstr>arm-software_raw_list</vt:lpstr>
      <vt:lpstr>mdk-packs_raw_list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Evangelos Ganotopoulos</cp:lastModifiedBy>
  <dcterms:created xsi:type="dcterms:W3CDTF">2026-06-30T10:10:52Z</dcterms:created>
  <dcterms:modified xsi:type="dcterms:W3CDTF">2026-07-01T11:31:52Z</dcterms:modified>
</cp:coreProperties>
</file>