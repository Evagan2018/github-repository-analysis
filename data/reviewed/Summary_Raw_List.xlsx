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-cmisis-pack_raw_list" sheetId="1" state="visible" r:id="rId1"/>
    <sheet xmlns:r="http://schemas.openxmlformats.org/officeDocument/2006/relationships" name="arm-examples_raw_list" sheetId="2" state="visible" r:id="rId2"/>
    <sheet xmlns:r="http://schemas.openxmlformats.org/officeDocument/2006/relationships" name="arm-software_raw_list" sheetId="3" state="visible" r:id="rId3"/>
    <sheet xmlns:r="http://schemas.openxmlformats.org/officeDocument/2006/relationships" name="mdk-packs_raw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&quot;T&quot;hh:mm:ss&quot;Z&quot;"/>
  </numFmts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165" fontId="0" fillId="3" borderId="0" pivotButton="0" quotePrefix="0" xfId="0"/>
    <xf numFmtId="1" fontId="0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pen_cmisis_pack_raw_list" displayName="open_cmisis_pack_raw_list" ref="A1:J145" headerRowCount="1">
  <autoFilter ref="A1:J145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id="2" name="arm_examples_raw_list" displayName="arm_examples_raw_list" ref="A1:J78" headerRowCount="1">
  <autoFilter ref="A1:J78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id="3" name="arm_software_raw_list" displayName="arm_software_raw_list" ref="A1:J128" headerRowCount="1">
  <autoFilter ref="A1:J128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7" showFirstColumn="0" showLastColumn="0" showRowStripes="0" showColumnStripes="0"/>
</table>
</file>

<file path=xl/tables/table4.xml><?xml version="1.0" encoding="utf-8"?>
<table xmlns="http://schemas.openxmlformats.org/spreadsheetml/2006/main" id="4" name="mdk_packs_raw_list" displayName="mdk_packs_raw_list" ref="A1:J38" headerRowCount="1">
  <autoFilter ref="A1:J38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  <col width="13" customWidth="1" min="3" max="3"/>
    <col width="13" customWidth="1" min="4" max="4"/>
    <col width="21" customWidth="1" min="5" max="5"/>
    <col width="21" customWidth="1" min="6" max="6"/>
    <col width="18" customWidth="1" min="7" max="7"/>
    <col width="50" customWidth="1" min="8" max="8"/>
    <col width="60" customWidth="1" min="9" max="9"/>
    <col width="20" customWidth="1" min="10" max="10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</row>
    <row r="2">
      <c r="A2" s="2" t="inlineStr">
        <is>
          <t># Revision History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# Author</t>
        </is>
      </c>
      <c r="B3" t="inlineStr">
        <is>
          <t>OpenAI Codex</t>
        </is>
      </c>
    </row>
    <row r="4">
      <c r="A4" s="2" t="inlineStr">
        <is>
          <t># Date</t>
        </is>
      </c>
      <c r="B4" s="2" t="inlineStr">
        <is>
          <t>2026-06-26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# Change</t>
        </is>
      </c>
      <c r="B5" t="inlineStr">
        <is>
          <t>Initial repository export generated by Get_Repositories.py v1.0.0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# File Description</t>
        </is>
      </c>
    </row>
    <row r="8">
      <c r="A8" s="2" t="inlineStr">
        <is>
          <t># Summary</t>
        </is>
      </c>
      <c r="B8" s="2" t="inlineStr">
        <is>
          <t>Repository data read from a GitHub organization and filtered automatically by visibility, archive status, and activity cutoff.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# Generation Process</t>
        </is>
      </c>
      <c r="B9" t="inlineStr">
        <is>
          <t>Two-stage process: stage 1 automated export by script; stage 2 optional manual filtering if repository-side tags or metadata are missing.</t>
        </is>
      </c>
    </row>
    <row r="10">
      <c r="A10" s="2" t="inlineStr">
        <is>
          <t># Source Script</t>
        </is>
      </c>
      <c r="B10" s="2" t="inlineStr">
        <is>
          <t>Get_Repositories.py v1.0.0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# Suggested Workflows</t>
        </is>
      </c>
      <c r="B11" t="inlineStr">
        <is>
          <t>Excel review, manual repository qualification, and follow-on automation workflows that consume repository lists.</t>
        </is>
      </c>
    </row>
    <row r="12">
      <c r="A12" s="2" t="inlineStr">
        <is>
          <t># Organization</t>
        </is>
      </c>
      <c r="B12" s="2" t="inlineStr">
        <is>
          <t>open-cmisis-pack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# GitHub API Organization</t>
        </is>
      </c>
      <c r="B13" t="inlineStr">
        <is>
          <t>Open-CMSIS-Pack</t>
        </is>
      </c>
    </row>
    <row r="14">
      <c r="A14" s="2" t="inlineStr">
        <is>
          <t># Activity Cutoff</t>
        </is>
      </c>
      <c r="B14" s="2" t="inlineStr">
        <is>
          <t>2024-06-01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/>
    <row r="16">
      <c r="A16" s="2" t="inlineStr">
        <is>
          <t># Field Descriptions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# repository</t>
        </is>
      </c>
      <c r="B17" t="inlineStr">
        <is>
          <t>Repository name in the selected GitHub organization.</t>
        </is>
      </c>
    </row>
    <row r="18">
      <c r="A18" s="2" t="inlineStr">
        <is>
          <t># last_push</t>
        </is>
      </c>
      <c r="B18" s="2" t="inlineStr">
        <is>
          <t>Timestamp of the latest push reported by GitHub.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# visibility</t>
        </is>
      </c>
      <c r="B19" t="inlineStr">
        <is>
          <t>Normalized repository visibility status after API readout.</t>
        </is>
      </c>
    </row>
    <row r="20">
      <c r="A20" s="2" t="inlineStr">
        <is>
          <t># archived</t>
        </is>
      </c>
      <c r="B20" s="2" t="inlineStr">
        <is>
          <t>Archive flag returned by GitHub for the repository.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# unique_visitors_14d</t>
        </is>
      </c>
      <c r="B21" t="inlineStr">
        <is>
          <t>Unique repository visitors in the last 14 days.</t>
        </is>
      </c>
    </row>
    <row r="22">
      <c r="A22" s="2" t="inlineStr">
        <is>
          <t># unique_cloners_14d</t>
        </is>
      </c>
      <c r="B22" s="2" t="inlineStr">
        <is>
          <t>Unique repository cloners in the last 14 days.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t="inlineStr">
        <is>
          <t># total_views_14d</t>
        </is>
      </c>
      <c r="B23" t="inlineStr">
        <is>
          <t>Total repository page views in the last 14 days.</t>
        </is>
      </c>
    </row>
    <row r="24">
      <c r="A24" s="2" t="inlineStr">
        <is>
          <t># traffic_status</t>
        </is>
      </c>
      <c r="B24" s="2" t="inlineStr">
        <is>
          <t>Traffic readout result, for example OK or an API access message.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/>
    <row r="26">
      <c r="A26" s="2" t="inlineStr">
        <is>
          <t>repository</t>
        </is>
      </c>
      <c r="B26" s="2" t="inlineStr">
        <is>
          <t>last_push</t>
        </is>
      </c>
      <c r="C26" s="2" t="inlineStr">
        <is>
          <t>visibility</t>
        </is>
      </c>
      <c r="D26" s="2" t="inlineStr">
        <is>
          <t>archived</t>
        </is>
      </c>
      <c r="E26" s="2" t="inlineStr">
        <is>
          <t>unique_visitors_14d</t>
        </is>
      </c>
      <c r="F26" s="2" t="inlineStr">
        <is>
          <t>unique_cloners_14d</t>
        </is>
      </c>
      <c r="G26" s="2" t="inlineStr">
        <is>
          <t>total_views_14d</t>
        </is>
      </c>
      <c r="H26" s="2" t="inlineStr">
        <is>
          <t>traffic_status</t>
        </is>
      </c>
      <c r="I26" s="2" t="inlineStr">
        <is>
          <t>link_2_repository</t>
        </is>
      </c>
      <c r="J26" s="2" t="inlineStr">
        <is>
          <t>ignore_status</t>
        </is>
      </c>
    </row>
    <row r="27">
      <c r="A27" t="inlineStr">
        <is>
          <t>vscode-cmsis-solution</t>
        </is>
      </c>
      <c r="B27" s="3" t="n">
        <v>46199.40445601852</v>
      </c>
      <c r="C27" t="inlineStr">
        <is>
          <t>PUBLIC</t>
        </is>
      </c>
      <c r="D27" t="b">
        <v>0</v>
      </c>
      <c r="E27" s="4" t="n">
        <v>62</v>
      </c>
      <c r="F27" s="4" t="n">
        <v>471</v>
      </c>
      <c r="G27" s="4" t="n">
        <v>1704</v>
      </c>
      <c r="H27" t="inlineStr">
        <is>
          <t>OK</t>
        </is>
      </c>
      <c r="I27" s="5">
        <f>HYPERLINK("https://github.com/" &amp; "open-cmsis-pack" &amp; "/" &amp; A27, A27)</f>
        <v/>
      </c>
    </row>
    <row r="28">
      <c r="A28" s="2" t="inlineStr">
        <is>
          <t>vscode-cmsis-debugger</t>
        </is>
      </c>
      <c r="B28" s="6" t="n">
        <v>46199.40226851852</v>
      </c>
      <c r="C28" s="2" t="inlineStr">
        <is>
          <t>PUBLIC</t>
        </is>
      </c>
      <c r="D28" s="2" t="b">
        <v>0</v>
      </c>
      <c r="E28" s="7" t="n"/>
      <c r="F28" s="7" t="n"/>
      <c r="G28" s="7" t="n"/>
      <c r="H28" s="2" t="inlineStr">
        <is>
          <t>RESTRICTED: Must have push access to repository</t>
        </is>
      </c>
      <c r="I28" s="8">
        <f>HYPERLINK("https://github.com/" &amp; "open-cmsis-pack" &amp; "/" &amp; A28, A28)</f>
        <v/>
      </c>
      <c r="J28" s="2" t="n"/>
    </row>
    <row r="29">
      <c r="A29" t="inlineStr">
        <is>
          <t>STM32WLxx_DFP</t>
        </is>
      </c>
      <c r="B29" s="3" t="n">
        <v>46199.37655092592</v>
      </c>
      <c r="C29" t="inlineStr">
        <is>
          <t>PUBLIC</t>
        </is>
      </c>
      <c r="D29" t="b">
        <v>0</v>
      </c>
      <c r="E29" s="4" t="n">
        <v>12</v>
      </c>
      <c r="F29" s="4" t="n">
        <v>60</v>
      </c>
      <c r="G29" s="4" t="n">
        <v>29</v>
      </c>
      <c r="H29" t="inlineStr">
        <is>
          <t>OK</t>
        </is>
      </c>
      <c r="I29" s="5">
        <f>HYPERLINK("https://github.com/" &amp; "open-cmsis-pack" &amp; "/" &amp; A29, A29)</f>
        <v/>
      </c>
    </row>
    <row r="30">
      <c r="A30" s="2" t="inlineStr">
        <is>
          <t>devtools</t>
        </is>
      </c>
      <c r="B30" s="6" t="n">
        <v>46199.35769675926</v>
      </c>
      <c r="C30" s="2" t="inlineStr">
        <is>
          <t>PUBLIC</t>
        </is>
      </c>
      <c r="D30" s="2" t="b">
        <v>0</v>
      </c>
      <c r="E30" s="7" t="n">
        <v>122</v>
      </c>
      <c r="F30" s="7" t="n">
        <v>464</v>
      </c>
      <c r="G30" s="7" t="n">
        <v>698</v>
      </c>
      <c r="H30" s="2" t="inlineStr">
        <is>
          <t>OK</t>
        </is>
      </c>
      <c r="I30" s="8">
        <f>HYPERLINK("https://github.com/" &amp; "open-cmsis-pack" &amp; "/" &amp; A30, A30)</f>
        <v/>
      </c>
      <c r="J30" s="2" t="n"/>
    </row>
    <row r="31">
      <c r="A31" t="inlineStr">
        <is>
          <t>vscode-cmsis-sds</t>
        </is>
      </c>
      <c r="B31" s="3" t="n">
        <v>46199.31144675926</v>
      </c>
      <c r="C31" t="inlineStr">
        <is>
          <t>PUBLIC</t>
        </is>
      </c>
      <c r="D31" t="b">
        <v>0</v>
      </c>
      <c r="E31" s="4" t="n">
        <v>15</v>
      </c>
      <c r="F31" s="4" t="n">
        <v>338</v>
      </c>
      <c r="G31" s="4" t="n">
        <v>854</v>
      </c>
      <c r="H31" t="inlineStr">
        <is>
          <t>OK</t>
        </is>
      </c>
      <c r="I31" s="5">
        <f>HYPERLINK("https://github.com/" &amp; "open-cmsis-pack" &amp; "/" &amp; A31, A31)</f>
        <v/>
      </c>
    </row>
    <row r="32">
      <c r="A32" s="2" t="inlineStr">
        <is>
          <t>cbuild2cmake</t>
        </is>
      </c>
      <c r="B32" s="6" t="n">
        <v>46198.39722222222</v>
      </c>
      <c r="C32" s="2" t="inlineStr">
        <is>
          <t>PUBLIC</t>
        </is>
      </c>
      <c r="D32" s="2" t="b">
        <v>0</v>
      </c>
      <c r="E32" s="7" t="n">
        <v>33</v>
      </c>
      <c r="F32" s="7" t="n">
        <v>122</v>
      </c>
      <c r="G32" s="7" t="n">
        <v>86</v>
      </c>
      <c r="H32" s="2" t="inlineStr">
        <is>
          <t>OK</t>
        </is>
      </c>
      <c r="I32" s="8">
        <f>HYPERLINK("https://github.com/" &amp; "open-cmsis-pack" &amp; "/" &amp; A32, A32)</f>
        <v/>
      </c>
      <c r="J32" s="2" t="n"/>
    </row>
    <row r="33">
      <c r="A33" t="inlineStr">
        <is>
          <t>STM32H7xx_DFP</t>
        </is>
      </c>
      <c r="B33" s="3" t="n">
        <v>46197.66645833333</v>
      </c>
      <c r="C33" t="inlineStr">
        <is>
          <t>PUBLIC</t>
        </is>
      </c>
      <c r="D33" t="b">
        <v>0</v>
      </c>
      <c r="E33" s="4" t="n">
        <v>137</v>
      </c>
      <c r="F33" s="4" t="n">
        <v>80</v>
      </c>
      <c r="G33" s="4" t="n">
        <v>313</v>
      </c>
      <c r="H33" t="inlineStr">
        <is>
          <t>OK</t>
        </is>
      </c>
      <c r="I33" s="5">
        <f>HYPERLINK("https://github.com/" &amp; "open-cmsis-pack" &amp; "/" &amp; A33, A33)</f>
        <v/>
      </c>
    </row>
    <row r="34">
      <c r="A34" s="2" t="inlineStr">
        <is>
          <t>cmsis-toolbox</t>
        </is>
      </c>
      <c r="B34" s="6" t="n">
        <v>46197.49346064815</v>
      </c>
      <c r="C34" s="2" t="inlineStr">
        <is>
          <t>PUBLIC</t>
        </is>
      </c>
      <c r="D34" s="2" t="b">
        <v>0</v>
      </c>
      <c r="E34" s="7" t="n">
        <v>335</v>
      </c>
      <c r="F34" s="7" t="n">
        <v>232</v>
      </c>
      <c r="G34" s="7" t="n">
        <v>990</v>
      </c>
      <c r="H34" s="2" t="inlineStr">
        <is>
          <t>OK</t>
        </is>
      </c>
      <c r="I34" s="8">
        <f>HYPERLINK("https://github.com/" &amp; "open-cmsis-pack" &amp; "/" &amp; A34, A34)</f>
        <v/>
      </c>
      <c r="J34" s="2" t="n"/>
    </row>
    <row r="35">
      <c r="A35" t="inlineStr">
        <is>
          <t>vsce-helper</t>
        </is>
      </c>
      <c r="B35" s="3" t="n">
        <v>46196.1203125</v>
      </c>
      <c r="C35" t="inlineStr">
        <is>
          <t>PUBLIC</t>
        </is>
      </c>
      <c r="D35" t="b">
        <v>0</v>
      </c>
      <c r="E35" s="4" t="n"/>
      <c r="F35" s="4" t="n"/>
      <c r="G35" s="4" t="n"/>
      <c r="H35" t="inlineStr">
        <is>
          <t>RESTRICTED: Must have push access to repository</t>
        </is>
      </c>
      <c r="I35" s="5">
        <f>HYPERLINK("https://github.com/" &amp; "open-cmsis-pack" &amp; "/" &amp; A35, A35)</f>
        <v/>
      </c>
    </row>
    <row r="36">
      <c r="A36" s="2" t="inlineStr">
        <is>
          <t>gen-pack-action</t>
        </is>
      </c>
      <c r="B36" s="6" t="n">
        <v>46195.69652777778</v>
      </c>
      <c r="C36" s="2" t="inlineStr">
        <is>
          <t>PUBLIC</t>
        </is>
      </c>
      <c r="D36" s="2" t="b">
        <v>0</v>
      </c>
      <c r="E36" s="7" t="n"/>
      <c r="F36" s="7" t="n"/>
      <c r="G36" s="7" t="n"/>
      <c r="H36" s="2" t="inlineStr">
        <is>
          <t>RESTRICTED: Must have push access to repository</t>
        </is>
      </c>
      <c r="I36" s="8">
        <f>HYPERLINK("https://github.com/" &amp; "open-cmsis-pack" &amp; "/" &amp; A36, A36)</f>
        <v/>
      </c>
      <c r="J36" s="2" t="n"/>
    </row>
    <row r="37">
      <c r="A37" t="inlineStr">
        <is>
          <t>workflows-and-actions-collection</t>
        </is>
      </c>
      <c r="B37" s="3" t="n">
        <v>46195.59350694445</v>
      </c>
      <c r="C37" t="inlineStr">
        <is>
          <t>PUBLIC</t>
        </is>
      </c>
      <c r="D37" t="b">
        <v>0</v>
      </c>
      <c r="E37" s="4" t="n"/>
      <c r="F37" s="4" t="n"/>
      <c r="G37" s="4" t="n"/>
      <c r="H37" t="inlineStr">
        <is>
          <t>RESTRICTED: Must have push access to repository</t>
        </is>
      </c>
      <c r="I37" s="5">
        <f>HYPERLINK("https://github.com/" &amp; "open-cmsis-pack" &amp; "/" &amp; A37, A37)</f>
        <v/>
      </c>
    </row>
    <row r="38">
      <c r="A38" s="2" t="inlineStr">
        <is>
          <t>csolution-rpc</t>
        </is>
      </c>
      <c r="B38" s="6" t="n">
        <v>46195.46784722222</v>
      </c>
      <c r="C38" s="2" t="inlineStr">
        <is>
          <t>PUBLIC</t>
        </is>
      </c>
      <c r="D38" s="2" t="b">
        <v>0</v>
      </c>
      <c r="E38" s="7" t="n">
        <v>5</v>
      </c>
      <c r="F38" s="7" t="n">
        <v>41</v>
      </c>
      <c r="G38" s="7" t="n">
        <v>10</v>
      </c>
      <c r="H38" s="2" t="inlineStr">
        <is>
          <t>OK</t>
        </is>
      </c>
      <c r="I38" s="8">
        <f>HYPERLINK("https://github.com/" &amp; "open-cmsis-pack" &amp; "/" &amp; A38, A38)</f>
        <v/>
      </c>
      <c r="J38" s="2" t="n"/>
    </row>
    <row r="39">
      <c r="A39" t="inlineStr">
        <is>
          <t>debug-adapter-registry</t>
        </is>
      </c>
      <c r="B39" s="3" t="n">
        <v>46195.44709490741</v>
      </c>
      <c r="C39" t="inlineStr">
        <is>
          <t>PUBLIC</t>
        </is>
      </c>
      <c r="D39" t="b">
        <v>0</v>
      </c>
      <c r="E39" s="4" t="n">
        <v>4</v>
      </c>
      <c r="F39" s="4" t="n">
        <v>50</v>
      </c>
      <c r="G39" s="4" t="n">
        <v>13</v>
      </c>
      <c r="H39" t="inlineStr">
        <is>
          <t>OK</t>
        </is>
      </c>
      <c r="I39" s="5">
        <f>HYPERLINK("https://github.com/" &amp; "open-cmsis-pack" &amp; "/" &amp; A39, A39)</f>
        <v/>
      </c>
    </row>
    <row r="40">
      <c r="A40" s="2" t="inlineStr">
        <is>
          <t>gen-pack</t>
        </is>
      </c>
      <c r="B40" s="6" t="n">
        <v>46195.20325231482</v>
      </c>
      <c r="C40" s="2" t="inlineStr">
        <is>
          <t>PUBLIC</t>
        </is>
      </c>
      <c r="D40" s="2" t="b">
        <v>0</v>
      </c>
      <c r="E40" s="7" t="n"/>
      <c r="F40" s="7" t="n"/>
      <c r="G40" s="7" t="n"/>
      <c r="H40" s="2" t="inlineStr">
        <is>
          <t>RESTRICTED: Must have push access to repository</t>
        </is>
      </c>
      <c r="I40" s="8">
        <f>HYPERLINK("https://github.com/" &amp; "open-cmsis-pack" &amp; "/" &amp; A40, A40)</f>
        <v/>
      </c>
      <c r="J40" s="2" t="n"/>
    </row>
    <row r="41">
      <c r="A41" t="inlineStr">
        <is>
          <t>vscode-get-started</t>
        </is>
      </c>
      <c r="B41" s="3" t="n">
        <v>46195.00296296296</v>
      </c>
      <c r="C41" t="inlineStr">
        <is>
          <t>PUBLIC</t>
        </is>
      </c>
      <c r="D41" t="b">
        <v>0</v>
      </c>
      <c r="E41" s="4" t="n"/>
      <c r="F41" s="4" t="n"/>
      <c r="G41" s="4" t="n"/>
      <c r="H41" t="inlineStr">
        <is>
          <t>RESTRICTED: Must have push access to repository</t>
        </is>
      </c>
      <c r="I41" s="5">
        <f>HYPERLINK("https://github.com/" &amp; "open-cmsis-pack" &amp; "/" &amp; A41, A41)</f>
        <v/>
      </c>
    </row>
    <row r="42">
      <c r="A42" s="2" t="inlineStr">
        <is>
          <t>cbuild</t>
        </is>
      </c>
      <c r="B42" s="6" t="n">
        <v>46194.80729166666</v>
      </c>
      <c r="C42" s="2" t="inlineStr">
        <is>
          <t>PUBLIC</t>
        </is>
      </c>
      <c r="D42" s="2" t="b">
        <v>0</v>
      </c>
      <c r="E42" s="7" t="n">
        <v>38</v>
      </c>
      <c r="F42" s="7" t="n">
        <v>191</v>
      </c>
      <c r="G42" s="7" t="n">
        <v>59</v>
      </c>
      <c r="H42" s="2" t="inlineStr">
        <is>
          <t>OK</t>
        </is>
      </c>
      <c r="I42" s="8">
        <f>HYPERLINK("https://github.com/" &amp; "open-cmsis-pack" &amp; "/" &amp; A42, A42)</f>
        <v/>
      </c>
      <c r="J42" s="2" t="n"/>
    </row>
    <row r="43">
      <c r="A43" t="inlineStr">
        <is>
          <t>vidx2pidx</t>
        </is>
      </c>
      <c r="B43" s="3" t="n">
        <v>46194.63378472222</v>
      </c>
      <c r="C43" t="inlineStr">
        <is>
          <t>PUBLIC</t>
        </is>
      </c>
      <c r="D43" t="b">
        <v>0</v>
      </c>
      <c r="E43" s="4" t="n"/>
      <c r="F43" s="4" t="n"/>
      <c r="G43" s="4" t="n"/>
      <c r="H43" t="inlineStr">
        <is>
          <t>RESTRICTED: Must have push access to repository</t>
        </is>
      </c>
      <c r="I43" s="5">
        <f>HYPERLINK("https://github.com/" &amp; "open-cmsis-pack" &amp; "/" &amp; A43, A43)</f>
        <v/>
      </c>
    </row>
    <row r="44">
      <c r="A44" s="2" t="inlineStr">
        <is>
          <t>cpackget</t>
        </is>
      </c>
      <c r="B44" s="6" t="n">
        <v>46194.31418981482</v>
      </c>
      <c r="C44" s="2" t="inlineStr">
        <is>
          <t>PUBLIC</t>
        </is>
      </c>
      <c r="D44" s="2" t="b">
        <v>0</v>
      </c>
      <c r="E44" s="7" t="n"/>
      <c r="F44" s="7" t="n"/>
      <c r="G44" s="7" t="n"/>
      <c r="H44" s="2" t="inlineStr">
        <is>
          <t>RESTRICTED: Must have push access to repository</t>
        </is>
      </c>
      <c r="I44" s="8">
        <f>HYPERLINK("https://github.com/" &amp; "open-cmsis-pack" &amp; "/" &amp; A44, A44)</f>
        <v/>
      </c>
      <c r="J44" s="2" t="n"/>
    </row>
    <row r="45">
      <c r="A45" t="inlineStr">
        <is>
          <t>generator-bridge</t>
        </is>
      </c>
      <c r="B45" s="3" t="n">
        <v>46194.08565972222</v>
      </c>
      <c r="C45" t="inlineStr">
        <is>
          <t>PUBLIC</t>
        </is>
      </c>
      <c r="D45" t="b">
        <v>0</v>
      </c>
      <c r="E45" s="4" t="n"/>
      <c r="F45" s="4" t="n"/>
      <c r="G45" s="4" t="n"/>
      <c r="H45" t="inlineStr">
        <is>
          <t>RESTRICTED: Must have push access to repository</t>
        </is>
      </c>
      <c r="I45" s="5">
        <f>HYPERLINK("https://github.com/" &amp; "open-cmsis-pack" &amp; "/" &amp; A45, A45)</f>
        <v/>
      </c>
    </row>
    <row r="46">
      <c r="A46" s="2" t="inlineStr">
        <is>
          <t>Open-CMSIS-Pack-Spec</t>
        </is>
      </c>
      <c r="B46" s="6" t="n">
        <v>46194.04315972222</v>
      </c>
      <c r="C46" s="2" t="inlineStr">
        <is>
          <t>PUBLIC</t>
        </is>
      </c>
      <c r="D46" s="2" t="b">
        <v>0</v>
      </c>
      <c r="E46" s="7" t="n"/>
      <c r="F46" s="7" t="n"/>
      <c r="G46" s="7" t="n"/>
      <c r="H46" s="2" t="inlineStr">
        <is>
          <t>RESTRICTED: Must have push access to repository</t>
        </is>
      </c>
      <c r="I46" s="8">
        <f>HYPERLINK("https://github.com/" &amp; "open-cmsis-pack" &amp; "/" &amp; A46, A46)</f>
        <v/>
      </c>
      <c r="J46" s="2" t="n"/>
    </row>
    <row r="47">
      <c r="A47" t="inlineStr">
        <is>
          <t>csolution-examples</t>
        </is>
      </c>
      <c r="B47" s="3" t="n">
        <v>46188.54253472222</v>
      </c>
      <c r="C47" t="inlineStr">
        <is>
          <t>PUBLIC</t>
        </is>
      </c>
      <c r="D47" t="b">
        <v>0</v>
      </c>
      <c r="E47" s="4" t="n">
        <v>43</v>
      </c>
      <c r="F47" s="4" t="n">
        <v>284</v>
      </c>
      <c r="G47" s="4" t="n">
        <v>287</v>
      </c>
      <c r="H47" t="inlineStr">
        <is>
          <t>OK</t>
        </is>
      </c>
      <c r="I47" s="5">
        <f>HYPERLINK("https://github.com/" &amp; "open-cmsis-pack" &amp; "/" &amp; A47, A47)</f>
        <v/>
      </c>
    </row>
    <row r="48">
      <c r="A48" s="2" t="inlineStr">
        <is>
          <t>NXP_IMXRT1050-EVKB_BSP</t>
        </is>
      </c>
      <c r="B48" s="6" t="n">
        <v>46178.48222222222</v>
      </c>
      <c r="C48" s="2" t="inlineStr">
        <is>
          <t>PUBLIC</t>
        </is>
      </c>
      <c r="D48" s="2" t="b">
        <v>0</v>
      </c>
      <c r="E48" s="7" t="n">
        <v>1</v>
      </c>
      <c r="F48" s="7" t="n">
        <v>24</v>
      </c>
      <c r="G48" s="7" t="n">
        <v>1</v>
      </c>
      <c r="H48" s="2" t="inlineStr">
        <is>
          <t>OK</t>
        </is>
      </c>
      <c r="I48" s="8">
        <f>HYPERLINK("https://github.com/" &amp; "open-cmsis-pack" &amp; "/" &amp; A48, A48)</f>
        <v/>
      </c>
      <c r="J48" s="2" t="n"/>
    </row>
    <row r="49">
      <c r="A49" t="inlineStr">
        <is>
          <t>NXP_iMXRT105x_MWP</t>
        </is>
      </c>
      <c r="B49" s="3" t="n">
        <v>46178.4678125</v>
      </c>
      <c r="C49" t="inlineStr">
        <is>
          <t>PUBLIC</t>
        </is>
      </c>
      <c r="D49" t="b">
        <v>0</v>
      </c>
      <c r="E49" s="4" t="n">
        <v>3</v>
      </c>
      <c r="F49" s="4" t="n">
        <v>31</v>
      </c>
      <c r="G49" s="4" t="n">
        <v>12</v>
      </c>
      <c r="H49" t="inlineStr">
        <is>
          <t>OK</t>
        </is>
      </c>
      <c r="I49" s="5">
        <f>HYPERLINK("https://github.com/" &amp; "open-cmsis-pack" &amp; "/" &amp; A49, A49)</f>
        <v/>
      </c>
    </row>
    <row r="50">
      <c r="A50" s="2" t="inlineStr">
        <is>
          <t>CMSIS-Driver_STM32</t>
        </is>
      </c>
      <c r="B50" s="6" t="n">
        <v>46176.47376157407</v>
      </c>
      <c r="C50" s="2" t="inlineStr">
        <is>
          <t>PUBLIC</t>
        </is>
      </c>
      <c r="D50" s="2" t="b">
        <v>0</v>
      </c>
      <c r="E50" s="7" t="n">
        <v>59</v>
      </c>
      <c r="F50" s="7" t="n">
        <v>40</v>
      </c>
      <c r="G50" s="7" t="n">
        <v>149</v>
      </c>
      <c r="H50" s="2" t="inlineStr">
        <is>
          <t>OK</t>
        </is>
      </c>
      <c r="I50" s="8">
        <f>HYPERLINK("https://github.com/" &amp; "open-cmsis-pack" &amp; "/" &amp; A50, A50)</f>
        <v/>
      </c>
      <c r="J50" s="2" t="n"/>
    </row>
    <row r="51">
      <c r="A51" t="inlineStr">
        <is>
          <t>STM32N6570-DK_BSP</t>
        </is>
      </c>
      <c r="B51" s="3" t="n">
        <v>46162.38172453704</v>
      </c>
      <c r="C51" t="inlineStr">
        <is>
          <t>PUBLIC</t>
        </is>
      </c>
      <c r="D51" t="b">
        <v>0</v>
      </c>
      <c r="E51" s="4" t="n">
        <v>3</v>
      </c>
      <c r="F51" s="4" t="n">
        <v>28</v>
      </c>
      <c r="G51" s="4" t="n">
        <v>5</v>
      </c>
      <c r="H51" t="inlineStr">
        <is>
          <t>OK</t>
        </is>
      </c>
      <c r="I51" s="5">
        <f>HYPERLINK("https://github.com/" &amp; "open-cmsis-pack" &amp; "/" &amp; A51, A51)</f>
        <v/>
      </c>
    </row>
    <row r="52">
      <c r="A52" s="2" t="inlineStr">
        <is>
          <t>STM32N6xx_DFP</t>
        </is>
      </c>
      <c r="B52" s="6" t="n">
        <v>46162.38047453704</v>
      </c>
      <c r="C52" s="2" t="inlineStr">
        <is>
          <t>PUBLIC</t>
        </is>
      </c>
      <c r="D52" s="2" t="b">
        <v>0</v>
      </c>
      <c r="E52" s="7" t="n">
        <v>10</v>
      </c>
      <c r="F52" s="7" t="n">
        <v>60</v>
      </c>
      <c r="G52" s="7" t="n">
        <v>24</v>
      </c>
      <c r="H52" s="2" t="inlineStr">
        <is>
          <t>OK</t>
        </is>
      </c>
      <c r="I52" s="8">
        <f>HYPERLINK("https://github.com/" &amp; "open-cmsis-pack" &amp; "/" &amp; A52, A52)</f>
        <v/>
      </c>
      <c r="J52" s="2" t="n"/>
    </row>
    <row r="53">
      <c r="A53" t="inlineStr">
        <is>
          <t>vscode-extension-workflows</t>
        </is>
      </c>
      <c r="B53" s="3" t="n">
        <v>46152.43273148148</v>
      </c>
      <c r="C53" t="inlineStr">
        <is>
          <t>PUBLIC</t>
        </is>
      </c>
      <c r="D53" t="b">
        <v>0</v>
      </c>
      <c r="E53" s="4" t="n">
        <v>1</v>
      </c>
      <c r="F53" s="4" t="n">
        <v>26</v>
      </c>
      <c r="G53" s="4" t="n">
        <v>2</v>
      </c>
      <c r="H53" t="inlineStr">
        <is>
          <t>OK</t>
        </is>
      </c>
      <c r="I53" s="5">
        <f>HYPERLINK("https://github.com/" &amp; "open-cmsis-pack" &amp; "/" &amp; A53, A53)</f>
        <v/>
      </c>
    </row>
    <row r="54">
      <c r="A54" s="2" t="inlineStr">
        <is>
          <t>NXP_FRDM-MCXN947_BSP</t>
        </is>
      </c>
      <c r="B54" s="6" t="n">
        <v>46125.32621527778</v>
      </c>
      <c r="C54" s="2" t="inlineStr">
        <is>
          <t>PUBLIC</t>
        </is>
      </c>
      <c r="D54" s="2" t="b">
        <v>0</v>
      </c>
      <c r="E54" s="7" t="n">
        <v>3</v>
      </c>
      <c r="F54" s="7" t="n">
        <v>21</v>
      </c>
      <c r="G54" s="7" t="n">
        <v>6</v>
      </c>
      <c r="H54" s="2" t="inlineStr">
        <is>
          <t>OK</t>
        </is>
      </c>
      <c r="I54" s="8">
        <f>HYPERLINK("https://github.com/" &amp; "open-cmsis-pack" &amp; "/" &amp; A54, A54)</f>
        <v/>
      </c>
      <c r="J54" s="2" t="n"/>
    </row>
    <row r="55">
      <c r="A55" t="inlineStr">
        <is>
          <t>svd-spec</t>
        </is>
      </c>
      <c r="B55" s="3" t="n">
        <v>46119.475625</v>
      </c>
      <c r="C55" t="inlineStr">
        <is>
          <t>PUBLIC</t>
        </is>
      </c>
      <c r="D55" t="b">
        <v>0</v>
      </c>
      <c r="E55" s="4" t="n"/>
      <c r="F55" s="4" t="n"/>
      <c r="G55" s="4" t="n"/>
      <c r="H55" t="inlineStr">
        <is>
          <t>RESTRICTED: Must have push access to repository</t>
        </is>
      </c>
      <c r="I55" s="5">
        <f>HYPERLINK("https://github.com/" &amp; "open-cmsis-pack" &amp; "/" &amp; A55, A55)</f>
        <v/>
      </c>
    </row>
    <row r="56">
      <c r="A56" s="2" t="inlineStr">
        <is>
          <t>devtools-build-action</t>
        </is>
      </c>
      <c r="B56" s="6" t="n">
        <v>46113.60319444445</v>
      </c>
      <c r="C56" s="2" t="inlineStr">
        <is>
          <t>PUBLIC</t>
        </is>
      </c>
      <c r="D56" s="2" t="b">
        <v>0</v>
      </c>
      <c r="E56" s="7" t="n"/>
      <c r="F56" s="7" t="n"/>
      <c r="G56" s="7" t="n"/>
      <c r="H56" s="2" t="inlineStr">
        <is>
          <t>RESTRICTED: Must have push access to repository</t>
        </is>
      </c>
      <c r="I56" s="8">
        <f>HYPERLINK("https://github.com/" &amp; "open-cmsis-pack" &amp; "/" &amp; A56, A56)</f>
        <v/>
      </c>
      <c r="J56" s="2" t="n"/>
    </row>
    <row r="57">
      <c r="A57" t="inlineStr">
        <is>
          <t>.github</t>
        </is>
      </c>
      <c r="B57" s="3" t="n">
        <v>46105.3159375</v>
      </c>
      <c r="C57" t="inlineStr">
        <is>
          <t>PUBLIC</t>
        </is>
      </c>
      <c r="D57" t="b">
        <v>0</v>
      </c>
      <c r="E57" s="4" t="n"/>
      <c r="F57" s="4" t="n"/>
      <c r="G57" s="4" t="n"/>
      <c r="H57" t="inlineStr">
        <is>
          <t>RESTRICTED: Must have push access to repository</t>
        </is>
      </c>
      <c r="I57" s="5">
        <f>HYPERLINK("https://github.com/" &amp; "open-cmsis-pack" &amp; "/" &amp; A57, A57)</f>
        <v/>
      </c>
    </row>
    <row r="58">
      <c r="A58" s="2" t="inlineStr">
        <is>
          <t>STM32U0xx_DFP</t>
        </is>
      </c>
      <c r="B58" s="6" t="n">
        <v>46104.31034722222</v>
      </c>
      <c r="C58" s="2" t="inlineStr">
        <is>
          <t>PUBLIC</t>
        </is>
      </c>
      <c r="D58" s="2" t="b">
        <v>0</v>
      </c>
      <c r="E58" s="7" t="n">
        <v>4</v>
      </c>
      <c r="F58" s="7" t="n">
        <v>61</v>
      </c>
      <c r="G58" s="7" t="n">
        <v>6</v>
      </c>
      <c r="H58" s="2" t="inlineStr">
        <is>
          <t>OK</t>
        </is>
      </c>
      <c r="I58" s="8">
        <f>HYPERLINK("https://github.com/" &amp; "open-cmsis-pack" &amp; "/" &amp; A58, A58)</f>
        <v/>
      </c>
      <c r="J58" s="2" t="n"/>
    </row>
    <row r="59">
      <c r="A59" t="inlineStr">
        <is>
          <t>vcpkg-ce-registry</t>
        </is>
      </c>
      <c r="B59" s="3" t="n">
        <v>46094.71393518519</v>
      </c>
      <c r="C59" t="inlineStr">
        <is>
          <t>PUBLIC</t>
        </is>
      </c>
      <c r="D59" t="b">
        <v>0</v>
      </c>
      <c r="E59" s="4" t="n"/>
      <c r="F59" s="4" t="n"/>
      <c r="G59" s="4" t="n"/>
      <c r="H59" t="inlineStr">
        <is>
          <t>RESTRICTED: Must have push access to repository</t>
        </is>
      </c>
      <c r="I59" s="5">
        <f>HYPERLINK("https://github.com/" &amp; "open-cmsis-pack" &amp; "/" &amp; A59, A59)</f>
        <v/>
      </c>
    </row>
    <row r="60">
      <c r="A60" s="2" t="inlineStr">
        <is>
          <t>landing</t>
        </is>
      </c>
      <c r="B60" s="6" t="n">
        <v>46092.41146990741</v>
      </c>
      <c r="C60" s="2" t="inlineStr">
        <is>
          <t>PUBLIC</t>
        </is>
      </c>
      <c r="D60" s="2" t="b">
        <v>0</v>
      </c>
      <c r="E60" s="7" t="n"/>
      <c r="F60" s="7" t="n"/>
      <c r="G60" s="7" t="n"/>
      <c r="H60" s="2" t="inlineStr">
        <is>
          <t>RESTRICTED: Must have push access to repository</t>
        </is>
      </c>
      <c r="I60" s="8">
        <f>HYPERLINK("https://github.com/" &amp; "open-cmsis-pack" &amp; "/" &amp; A60, A60)</f>
        <v/>
      </c>
      <c r="J60" s="2" t="n"/>
    </row>
    <row r="61">
      <c r="A61" t="inlineStr">
        <is>
          <t>STM32H5xx_DFP</t>
        </is>
      </c>
      <c r="B61" s="3" t="n">
        <v>46087.40466435185</v>
      </c>
      <c r="C61" t="inlineStr">
        <is>
          <t>PUBLIC</t>
        </is>
      </c>
      <c r="D61" t="b">
        <v>0</v>
      </c>
      <c r="E61" s="4" t="n">
        <v>31</v>
      </c>
      <c r="F61" s="4" t="n">
        <v>64</v>
      </c>
      <c r="G61" s="4" t="n">
        <v>77</v>
      </c>
      <c r="H61" t="inlineStr">
        <is>
          <t>OK</t>
        </is>
      </c>
      <c r="I61" s="5">
        <f>HYPERLINK("https://github.com/" &amp; "open-cmsis-pack" &amp; "/" &amp; A61, A61)</f>
        <v/>
      </c>
    </row>
    <row r="62">
      <c r="A62" s="2" t="inlineStr">
        <is>
          <t>STM32U3xx_DFP</t>
        </is>
      </c>
      <c r="B62" s="6" t="n">
        <v>46087.40438657408</v>
      </c>
      <c r="C62" s="2" t="inlineStr">
        <is>
          <t>PUBLIC</t>
        </is>
      </c>
      <c r="D62" s="2" t="b">
        <v>0</v>
      </c>
      <c r="E62" s="7" t="n">
        <v>5</v>
      </c>
      <c r="F62" s="7" t="n">
        <v>58</v>
      </c>
      <c r="G62" s="7" t="n">
        <v>8</v>
      </c>
      <c r="H62" s="2" t="inlineStr">
        <is>
          <t>OK</t>
        </is>
      </c>
      <c r="I62" s="8">
        <f>HYPERLINK("https://github.com/" &amp; "open-cmsis-pack" &amp; "/" &amp; A62, A62)</f>
        <v/>
      </c>
      <c r="J62" s="2" t="n"/>
    </row>
    <row r="63">
      <c r="A63" t="inlineStr">
        <is>
          <t>STM32WBAxx_DFP</t>
        </is>
      </c>
      <c r="B63" s="3" t="n">
        <v>46087.40354166667</v>
      </c>
      <c r="C63" t="inlineStr">
        <is>
          <t>PUBLIC</t>
        </is>
      </c>
      <c r="D63" t="b">
        <v>0</v>
      </c>
      <c r="E63" s="4" t="n">
        <v>3</v>
      </c>
      <c r="F63" s="4" t="n">
        <v>60</v>
      </c>
      <c r="G63" s="4" t="n">
        <v>7</v>
      </c>
      <c r="H63" t="inlineStr">
        <is>
          <t>OK</t>
        </is>
      </c>
      <c r="I63" s="5">
        <f>HYPERLINK("https://github.com/" &amp; "open-cmsis-pack" &amp; "/" &amp; A63, A63)</f>
        <v/>
      </c>
    </row>
    <row r="64">
      <c r="A64" s="2" t="inlineStr">
        <is>
          <t>STM32WL3x_DFP</t>
        </is>
      </c>
      <c r="B64" s="6" t="n">
        <v>46071.69457175926</v>
      </c>
      <c r="C64" s="2" t="inlineStr">
        <is>
          <t>PUBLIC</t>
        </is>
      </c>
      <c r="D64" s="2" t="b">
        <v>0</v>
      </c>
      <c r="E64" s="7" t="n">
        <v>0</v>
      </c>
      <c r="F64" s="7" t="n">
        <v>61</v>
      </c>
      <c r="G64" s="7" t="n">
        <v>0</v>
      </c>
      <c r="H64" s="2" t="inlineStr">
        <is>
          <t>OK</t>
        </is>
      </c>
      <c r="I64" s="8">
        <f>HYPERLINK("https://github.com/" &amp; "open-cmsis-pack" &amp; "/" &amp; A64, A64)</f>
        <v/>
      </c>
      <c r="J64" s="2" t="n"/>
    </row>
    <row r="65">
      <c r="A65" t="inlineStr">
        <is>
          <t>STM32WBxx_DFP</t>
        </is>
      </c>
      <c r="B65" s="3" t="n">
        <v>46071.69172453704</v>
      </c>
      <c r="C65" t="inlineStr">
        <is>
          <t>PUBLIC</t>
        </is>
      </c>
      <c r="D65" t="b">
        <v>0</v>
      </c>
      <c r="E65" s="4" t="n">
        <v>4</v>
      </c>
      <c r="F65" s="4" t="n">
        <v>58</v>
      </c>
      <c r="G65" s="4" t="n">
        <v>6</v>
      </c>
      <c r="H65" t="inlineStr">
        <is>
          <t>OK</t>
        </is>
      </c>
      <c r="I65" s="5">
        <f>HYPERLINK("https://github.com/" &amp; "open-cmsis-pack" &amp; "/" &amp; A65, A65)</f>
        <v/>
      </c>
    </row>
    <row r="66">
      <c r="A66" s="2" t="inlineStr">
        <is>
          <t>STM32WB0x_DFP</t>
        </is>
      </c>
      <c r="B66" s="6" t="n">
        <v>46071.68600694444</v>
      </c>
      <c r="C66" s="2" t="inlineStr">
        <is>
          <t>PUBLIC</t>
        </is>
      </c>
      <c r="D66" s="2" t="b">
        <v>0</v>
      </c>
      <c r="E66" s="7" t="n">
        <v>3</v>
      </c>
      <c r="F66" s="7" t="n">
        <v>59</v>
      </c>
      <c r="G66" s="7" t="n">
        <v>4</v>
      </c>
      <c r="H66" s="2" t="inlineStr">
        <is>
          <t>OK</t>
        </is>
      </c>
      <c r="I66" s="8">
        <f>HYPERLINK("https://github.com/" &amp; "open-cmsis-pack" &amp; "/" &amp; A66, A66)</f>
        <v/>
      </c>
      <c r="J66" s="2" t="n"/>
    </row>
    <row r="67">
      <c r="A67" t="inlineStr">
        <is>
          <t>STM32U5xx_DFP</t>
        </is>
      </c>
      <c r="B67" s="3" t="n">
        <v>46071.68243055556</v>
      </c>
      <c r="C67" t="inlineStr">
        <is>
          <t>PUBLIC</t>
        </is>
      </c>
      <c r="D67" t="b">
        <v>0</v>
      </c>
      <c r="E67" s="4" t="n">
        <v>27</v>
      </c>
      <c r="F67" s="4" t="n">
        <v>72</v>
      </c>
      <c r="G67" s="4" t="n">
        <v>78</v>
      </c>
      <c r="H67" t="inlineStr">
        <is>
          <t>OK</t>
        </is>
      </c>
      <c r="I67" s="5">
        <f>HYPERLINK("https://github.com/" &amp; "open-cmsis-pack" &amp; "/" &amp; A67, A67)</f>
        <v/>
      </c>
    </row>
    <row r="68">
      <c r="A68" s="2" t="inlineStr">
        <is>
          <t>STM32U575I-EV_BSP</t>
        </is>
      </c>
      <c r="B68" s="6" t="n">
        <v>46071.67991898148</v>
      </c>
      <c r="C68" s="2" t="inlineStr">
        <is>
          <t>PUBLIC</t>
        </is>
      </c>
      <c r="D68" s="2" t="b">
        <v>0</v>
      </c>
      <c r="E68" s="7" t="n">
        <v>3</v>
      </c>
      <c r="F68" s="7" t="n">
        <v>20</v>
      </c>
      <c r="G68" s="7" t="n">
        <v>3</v>
      </c>
      <c r="H68" s="2" t="inlineStr">
        <is>
          <t>OK</t>
        </is>
      </c>
      <c r="I68" s="8">
        <f>HYPERLINK("https://github.com/" &amp; "open-cmsis-pack" &amp; "/" &amp; A68, A68)</f>
        <v/>
      </c>
      <c r="J68" s="2" t="n"/>
    </row>
    <row r="69">
      <c r="A69" t="inlineStr">
        <is>
          <t>STM32L5xx_DFP</t>
        </is>
      </c>
      <c r="B69" s="3" t="n">
        <v>46071.65480324074</v>
      </c>
      <c r="C69" t="inlineStr">
        <is>
          <t>PUBLIC</t>
        </is>
      </c>
      <c r="D69" t="b">
        <v>0</v>
      </c>
      <c r="E69" s="4" t="n">
        <v>7</v>
      </c>
      <c r="F69" s="4" t="n">
        <v>62</v>
      </c>
      <c r="G69" s="4" t="n">
        <v>14</v>
      </c>
      <c r="H69" t="inlineStr">
        <is>
          <t>OK</t>
        </is>
      </c>
      <c r="I69" s="5">
        <f>HYPERLINK("https://github.com/" &amp; "open-cmsis-pack" &amp; "/" &amp; A69, A69)</f>
        <v/>
      </c>
    </row>
    <row r="70">
      <c r="A70" s="2" t="inlineStr">
        <is>
          <t>STM32L562E-DK_BSP</t>
        </is>
      </c>
      <c r="B70" s="6" t="n">
        <v>46071.65116898148</v>
      </c>
      <c r="C70" s="2" t="inlineStr">
        <is>
          <t>PUBLIC</t>
        </is>
      </c>
      <c r="D70" s="2" t="b">
        <v>0</v>
      </c>
      <c r="E70" s="7" t="n">
        <v>0</v>
      </c>
      <c r="F70" s="7" t="n">
        <v>19</v>
      </c>
      <c r="G70" s="7" t="n">
        <v>0</v>
      </c>
      <c r="H70" s="2" t="inlineStr">
        <is>
          <t>OK</t>
        </is>
      </c>
      <c r="I70" s="8">
        <f>HYPERLINK("https://github.com/" &amp; "open-cmsis-pack" &amp; "/" &amp; A70, A70)</f>
        <v/>
      </c>
      <c r="J70" s="2" t="n"/>
    </row>
    <row r="71">
      <c r="A71" t="inlineStr">
        <is>
          <t>STM32L552E-EV_BSP</t>
        </is>
      </c>
      <c r="B71" s="3" t="n">
        <v>46071.64805555555</v>
      </c>
      <c r="C71" t="inlineStr">
        <is>
          <t>PUBLIC</t>
        </is>
      </c>
      <c r="D71" t="b">
        <v>0</v>
      </c>
      <c r="E71" s="4" t="n">
        <v>1</v>
      </c>
      <c r="F71" s="4" t="n">
        <v>21</v>
      </c>
      <c r="G71" s="4" t="n">
        <v>2</v>
      </c>
      <c r="H71" t="inlineStr">
        <is>
          <t>OK</t>
        </is>
      </c>
      <c r="I71" s="5">
        <f>HYPERLINK("https://github.com/" &amp; "open-cmsis-pack" &amp; "/" &amp; A71, A71)</f>
        <v/>
      </c>
    </row>
    <row r="72">
      <c r="A72" s="2" t="inlineStr">
        <is>
          <t>STM32L4xx_DFP</t>
        </is>
      </c>
      <c r="B72" s="6" t="n">
        <v>46071.64376157407</v>
      </c>
      <c r="C72" s="2" t="inlineStr">
        <is>
          <t>PUBLIC</t>
        </is>
      </c>
      <c r="D72" s="2" t="b">
        <v>0</v>
      </c>
      <c r="E72" s="7" t="n">
        <v>48</v>
      </c>
      <c r="F72" s="7" t="n">
        <v>62</v>
      </c>
      <c r="G72" s="7" t="n">
        <v>97</v>
      </c>
      <c r="H72" s="2" t="inlineStr">
        <is>
          <t>OK</t>
        </is>
      </c>
      <c r="I72" s="8">
        <f>HYPERLINK("https://github.com/" &amp; "open-cmsis-pack" &amp; "/" &amp; A72, A72)</f>
        <v/>
      </c>
      <c r="J72" s="2" t="n"/>
    </row>
    <row r="73">
      <c r="A73" t="inlineStr">
        <is>
          <t>STM32L4R9I-EVAL_BSP</t>
        </is>
      </c>
      <c r="B73" s="3" t="n">
        <v>46071.6421412037</v>
      </c>
      <c r="C73" t="inlineStr">
        <is>
          <t>PUBLIC</t>
        </is>
      </c>
      <c r="D73" t="b">
        <v>0</v>
      </c>
      <c r="E73" s="4" t="n">
        <v>0</v>
      </c>
      <c r="F73" s="4" t="n">
        <v>20</v>
      </c>
      <c r="G73" s="4" t="n">
        <v>0</v>
      </c>
      <c r="H73" t="inlineStr">
        <is>
          <t>OK</t>
        </is>
      </c>
      <c r="I73" s="5">
        <f>HYPERLINK("https://github.com/" &amp; "open-cmsis-pack" &amp; "/" &amp; A73, A73)</f>
        <v/>
      </c>
    </row>
    <row r="74">
      <c r="A74" s="2" t="inlineStr">
        <is>
          <t>STM32L4R9I-DISCO_BSP</t>
        </is>
      </c>
      <c r="B74" s="6" t="n">
        <v>46071.63856481481</v>
      </c>
      <c r="C74" s="2" t="inlineStr">
        <is>
          <t>PUBLIC</t>
        </is>
      </c>
      <c r="D74" s="2" t="b">
        <v>0</v>
      </c>
      <c r="E74" s="7" t="n">
        <v>1</v>
      </c>
      <c r="F74" s="7" t="n">
        <v>19</v>
      </c>
      <c r="G74" s="7" t="n">
        <v>1</v>
      </c>
      <c r="H74" s="2" t="inlineStr">
        <is>
          <t>OK</t>
        </is>
      </c>
      <c r="I74" s="8">
        <f>HYPERLINK("https://github.com/" &amp; "open-cmsis-pack" &amp; "/" &amp; A74, A74)</f>
        <v/>
      </c>
      <c r="J74" s="2" t="n"/>
    </row>
    <row r="75">
      <c r="A75" t="inlineStr">
        <is>
          <t>STM32L496G-DISCO_BSP</t>
        </is>
      </c>
      <c r="B75" s="3" t="n">
        <v>46071.63237268518</v>
      </c>
      <c r="C75" t="inlineStr">
        <is>
          <t>PUBLIC</t>
        </is>
      </c>
      <c r="D75" t="b">
        <v>0</v>
      </c>
      <c r="E75" s="4" t="n">
        <v>1</v>
      </c>
      <c r="F75" s="4" t="n">
        <v>18</v>
      </c>
      <c r="G75" s="4" t="n">
        <v>1</v>
      </c>
      <c r="H75" t="inlineStr">
        <is>
          <t>OK</t>
        </is>
      </c>
      <c r="I75" s="5">
        <f>HYPERLINK("https://github.com/" &amp; "open-cmsis-pack" &amp; "/" &amp; A75, A75)</f>
        <v/>
      </c>
    </row>
    <row r="76">
      <c r="A76" s="2" t="inlineStr">
        <is>
          <t>STM32L476G-EVAL_BSP</t>
        </is>
      </c>
      <c r="B76" s="6" t="n">
        <v>46071.62378472222</v>
      </c>
      <c r="C76" s="2" t="inlineStr">
        <is>
          <t>PUBLIC</t>
        </is>
      </c>
      <c r="D76" s="2" t="b">
        <v>0</v>
      </c>
      <c r="E76" s="7" t="n">
        <v>1</v>
      </c>
      <c r="F76" s="7" t="n">
        <v>21</v>
      </c>
      <c r="G76" s="7" t="n">
        <v>7</v>
      </c>
      <c r="H76" s="2" t="inlineStr">
        <is>
          <t>OK</t>
        </is>
      </c>
      <c r="I76" s="8">
        <f>HYPERLINK("https://github.com/" &amp; "open-cmsis-pack" &amp; "/" &amp; A76, A76)</f>
        <v/>
      </c>
      <c r="J76" s="2" t="n"/>
    </row>
    <row r="77">
      <c r="A77" t="inlineStr">
        <is>
          <t>STM32L1xx_DFP</t>
        </is>
      </c>
      <c r="B77" s="3" t="n">
        <v>46071.61693287037</v>
      </c>
      <c r="C77" t="inlineStr">
        <is>
          <t>PUBLIC</t>
        </is>
      </c>
      <c r="D77" t="b">
        <v>0</v>
      </c>
      <c r="E77" s="4" t="n">
        <v>9</v>
      </c>
      <c r="F77" s="4" t="n">
        <v>58</v>
      </c>
      <c r="G77" s="4" t="n">
        <v>18</v>
      </c>
      <c r="H77" t="inlineStr">
        <is>
          <t>OK</t>
        </is>
      </c>
      <c r="I77" s="5">
        <f>HYPERLINK("https://github.com/" &amp; "open-cmsis-pack" &amp; "/" &amp; A77, A77)</f>
        <v/>
      </c>
    </row>
    <row r="78">
      <c r="A78" s="2" t="inlineStr">
        <is>
          <t>STM32L0xx_DFP</t>
        </is>
      </c>
      <c r="B78" s="6" t="n">
        <v>46071.6137962963</v>
      </c>
      <c r="C78" s="2" t="inlineStr">
        <is>
          <t>PUBLIC</t>
        </is>
      </c>
      <c r="D78" s="2" t="b">
        <v>0</v>
      </c>
      <c r="E78" s="7" t="n">
        <v>33</v>
      </c>
      <c r="F78" s="7" t="n">
        <v>61</v>
      </c>
      <c r="G78" s="7" t="n">
        <v>73</v>
      </c>
      <c r="H78" s="2" t="inlineStr">
        <is>
          <t>OK</t>
        </is>
      </c>
      <c r="I78" s="8">
        <f>HYPERLINK("https://github.com/" &amp; "open-cmsis-pack" &amp; "/" &amp; A78, A78)</f>
        <v/>
      </c>
      <c r="J78" s="2" t="n"/>
    </row>
    <row r="79">
      <c r="A79" t="inlineStr">
        <is>
          <t>STM32H7S78-DK_BSP</t>
        </is>
      </c>
      <c r="B79" s="3" t="n">
        <v>46071.59508101852</v>
      </c>
      <c r="C79" t="inlineStr">
        <is>
          <t>PUBLIC</t>
        </is>
      </c>
      <c r="D79" t="b">
        <v>0</v>
      </c>
      <c r="E79" s="4" t="n">
        <v>2</v>
      </c>
      <c r="F79" s="4" t="n">
        <v>23</v>
      </c>
      <c r="G79" s="4" t="n">
        <v>6</v>
      </c>
      <c r="H79" t="inlineStr">
        <is>
          <t>OK</t>
        </is>
      </c>
      <c r="I79" s="5">
        <f>HYPERLINK("https://github.com/" &amp; "open-cmsis-pack" &amp; "/" &amp; A79, A79)</f>
        <v/>
      </c>
    </row>
    <row r="80">
      <c r="A80" s="2" t="inlineStr">
        <is>
          <t>STM32H7RSxx_DFP</t>
        </is>
      </c>
      <c r="B80" s="6" t="n">
        <v>46071.58668981482</v>
      </c>
      <c r="C80" s="2" t="inlineStr">
        <is>
          <t>PUBLIC</t>
        </is>
      </c>
      <c r="D80" s="2" t="b">
        <v>0</v>
      </c>
      <c r="E80" s="7" t="n">
        <v>5</v>
      </c>
      <c r="F80" s="7" t="n">
        <v>61</v>
      </c>
      <c r="G80" s="7" t="n">
        <v>10</v>
      </c>
      <c r="H80" s="2" t="inlineStr">
        <is>
          <t>OK</t>
        </is>
      </c>
      <c r="I80" s="8">
        <f>HYPERLINK("https://github.com/" &amp; "open-cmsis-pack" &amp; "/" &amp; A80, A80)</f>
        <v/>
      </c>
      <c r="J80" s="2" t="n"/>
    </row>
    <row r="81">
      <c r="A81" t="inlineStr">
        <is>
          <t>STM32H7B3I-EVAL_BSP</t>
        </is>
      </c>
      <c r="B81" s="3" t="n">
        <v>46071.57450231481</v>
      </c>
      <c r="C81" t="inlineStr">
        <is>
          <t>PUBLIC</t>
        </is>
      </c>
      <c r="D81" t="b">
        <v>0</v>
      </c>
      <c r="E81" s="4" t="n">
        <v>1</v>
      </c>
      <c r="F81" s="4" t="n">
        <v>21</v>
      </c>
      <c r="G81" s="4" t="n">
        <v>1</v>
      </c>
      <c r="H81" t="inlineStr">
        <is>
          <t>OK</t>
        </is>
      </c>
      <c r="I81" s="5">
        <f>HYPERLINK("https://github.com/" &amp; "open-cmsis-pack" &amp; "/" &amp; A81, A81)</f>
        <v/>
      </c>
    </row>
    <row r="82">
      <c r="A82" s="2" t="inlineStr">
        <is>
          <t>STM32H7B3I-DK_BSP</t>
        </is>
      </c>
      <c r="B82" s="6" t="n">
        <v>46071.57015046296</v>
      </c>
      <c r="C82" s="2" t="inlineStr">
        <is>
          <t>PUBLIC</t>
        </is>
      </c>
      <c r="D82" s="2" t="b">
        <v>0</v>
      </c>
      <c r="E82" s="7" t="n">
        <v>0</v>
      </c>
      <c r="F82" s="7" t="n">
        <v>17</v>
      </c>
      <c r="G82" s="7" t="n">
        <v>0</v>
      </c>
      <c r="H82" s="2" t="inlineStr">
        <is>
          <t>OK</t>
        </is>
      </c>
      <c r="I82" s="8">
        <f>HYPERLINK("https://github.com/" &amp; "open-cmsis-pack" &amp; "/" &amp; A82, A82)</f>
        <v/>
      </c>
      <c r="J82" s="2" t="n"/>
    </row>
    <row r="83">
      <c r="A83" t="inlineStr">
        <is>
          <t>STM32H747I-EVAL_BSP</t>
        </is>
      </c>
      <c r="B83" s="3" t="n">
        <v>46071.56556712963</v>
      </c>
      <c r="C83" t="inlineStr">
        <is>
          <t>PUBLIC</t>
        </is>
      </c>
      <c r="D83" t="b">
        <v>0</v>
      </c>
      <c r="E83" s="4" t="n">
        <v>3</v>
      </c>
      <c r="F83" s="4" t="n">
        <v>21</v>
      </c>
      <c r="G83" s="4" t="n">
        <v>11</v>
      </c>
      <c r="H83" t="inlineStr">
        <is>
          <t>OK</t>
        </is>
      </c>
      <c r="I83" s="5">
        <f>HYPERLINK("https://github.com/" &amp; "open-cmsis-pack" &amp; "/" &amp; A83, A83)</f>
        <v/>
      </c>
    </row>
    <row r="84">
      <c r="A84" s="2" t="inlineStr">
        <is>
          <t>STM32H745I-DISCO_BSP</t>
        </is>
      </c>
      <c r="B84" s="6" t="n">
        <v>46071.56127314815</v>
      </c>
      <c r="C84" s="2" t="inlineStr">
        <is>
          <t>PUBLIC</t>
        </is>
      </c>
      <c r="D84" s="2" t="b">
        <v>0</v>
      </c>
      <c r="E84" s="7" t="n">
        <v>1</v>
      </c>
      <c r="F84" s="7" t="n">
        <v>21</v>
      </c>
      <c r="G84" s="7" t="n">
        <v>1</v>
      </c>
      <c r="H84" s="2" t="inlineStr">
        <is>
          <t>OK</t>
        </is>
      </c>
      <c r="I84" s="8">
        <f>HYPERLINK("https://github.com/" &amp; "open-cmsis-pack" &amp; "/" &amp; A84, A84)</f>
        <v/>
      </c>
      <c r="J84" s="2" t="n"/>
    </row>
    <row r="85">
      <c r="A85" t="inlineStr">
        <is>
          <t>STM32H743I-EVAL_BSP</t>
        </is>
      </c>
      <c r="B85" s="3" t="n">
        <v>46071.55708333333</v>
      </c>
      <c r="C85" t="inlineStr">
        <is>
          <t>PUBLIC</t>
        </is>
      </c>
      <c r="D85" t="b">
        <v>0</v>
      </c>
      <c r="E85" s="4" t="n">
        <v>6</v>
      </c>
      <c r="F85" s="4" t="n">
        <v>19</v>
      </c>
      <c r="G85" s="4" t="n">
        <v>13</v>
      </c>
      <c r="H85" t="inlineStr">
        <is>
          <t>OK</t>
        </is>
      </c>
      <c r="I85" s="5">
        <f>HYPERLINK("https://github.com/" &amp; "open-cmsis-pack" &amp; "/" &amp; A85, A85)</f>
        <v/>
      </c>
    </row>
    <row r="86">
      <c r="A86" s="2" t="inlineStr">
        <is>
          <t>STM32H735G-DK_BSP</t>
        </is>
      </c>
      <c r="B86" s="6" t="n">
        <v>46071.54543981481</v>
      </c>
      <c r="C86" s="2" t="inlineStr">
        <is>
          <t>PUBLIC</t>
        </is>
      </c>
      <c r="D86" s="2" t="b">
        <v>0</v>
      </c>
      <c r="E86" s="7" t="n">
        <v>2</v>
      </c>
      <c r="F86" s="7" t="n">
        <v>20</v>
      </c>
      <c r="G86" s="7" t="n">
        <v>4</v>
      </c>
      <c r="H86" s="2" t="inlineStr">
        <is>
          <t>OK</t>
        </is>
      </c>
      <c r="I86" s="8">
        <f>HYPERLINK("https://github.com/" &amp; "open-cmsis-pack" &amp; "/" &amp; A86, A86)</f>
        <v/>
      </c>
      <c r="J86" s="2" t="n"/>
    </row>
    <row r="87">
      <c r="A87" t="inlineStr">
        <is>
          <t>STM32G4xx_DFP</t>
        </is>
      </c>
      <c r="B87" s="3" t="n">
        <v>46071.53135416667</v>
      </c>
      <c r="C87" t="inlineStr">
        <is>
          <t>PUBLIC</t>
        </is>
      </c>
      <c r="D87" t="b">
        <v>0</v>
      </c>
      <c r="E87" s="4" t="n">
        <v>88</v>
      </c>
      <c r="F87" s="4" t="n">
        <v>71</v>
      </c>
      <c r="G87" s="4" t="n">
        <v>195</v>
      </c>
      <c r="H87" t="inlineStr">
        <is>
          <t>OK</t>
        </is>
      </c>
      <c r="I87" s="5">
        <f>HYPERLINK("https://github.com/" &amp; "open-cmsis-pack" &amp; "/" &amp; A87, A87)</f>
        <v/>
      </c>
    </row>
    <row r="88">
      <c r="A88" s="2" t="inlineStr">
        <is>
          <t>STM32G474E-EVAL1_BSP</t>
        </is>
      </c>
      <c r="B88" s="6" t="n">
        <v>46071.52622685185</v>
      </c>
      <c r="C88" s="2" t="inlineStr">
        <is>
          <t>PUBLIC</t>
        </is>
      </c>
      <c r="D88" s="2" t="b">
        <v>0</v>
      </c>
      <c r="E88" s="7" t="n">
        <v>4</v>
      </c>
      <c r="F88" s="7" t="n">
        <v>18</v>
      </c>
      <c r="G88" s="7" t="n">
        <v>7</v>
      </c>
      <c r="H88" s="2" t="inlineStr">
        <is>
          <t>OK</t>
        </is>
      </c>
      <c r="I88" s="8">
        <f>HYPERLINK("https://github.com/" &amp; "open-cmsis-pack" &amp; "/" &amp; A88, A88)</f>
        <v/>
      </c>
      <c r="J88" s="2" t="n"/>
    </row>
    <row r="89">
      <c r="A89" t="inlineStr">
        <is>
          <t>STM32G0xx_DFP</t>
        </is>
      </c>
      <c r="B89" s="3" t="n">
        <v>46071.52041666667</v>
      </c>
      <c r="C89" t="inlineStr">
        <is>
          <t>PUBLIC</t>
        </is>
      </c>
      <c r="D89" t="b">
        <v>0</v>
      </c>
      <c r="E89" s="4" t="n">
        <v>66</v>
      </c>
      <c r="F89" s="4" t="n">
        <v>62</v>
      </c>
      <c r="G89" s="4" t="n">
        <v>145</v>
      </c>
      <c r="H89" t="inlineStr">
        <is>
          <t>OK</t>
        </is>
      </c>
      <c r="I89" s="5">
        <f>HYPERLINK("https://github.com/" &amp; "open-cmsis-pack" &amp; "/" &amp; A89, A89)</f>
        <v/>
      </c>
    </row>
    <row r="90">
      <c r="A90" s="2" t="inlineStr">
        <is>
          <t>STM32G071B-DISCO_BSP</t>
        </is>
      </c>
      <c r="B90" s="6" t="n">
        <v>46071.51712962963</v>
      </c>
      <c r="C90" s="2" t="inlineStr">
        <is>
          <t>PUBLIC</t>
        </is>
      </c>
      <c r="D90" s="2" t="b">
        <v>0</v>
      </c>
      <c r="E90" s="7" t="n">
        <v>3</v>
      </c>
      <c r="F90" s="7" t="n">
        <v>19</v>
      </c>
      <c r="G90" s="7" t="n">
        <v>3</v>
      </c>
      <c r="H90" s="2" t="inlineStr">
        <is>
          <t>OK</t>
        </is>
      </c>
      <c r="I90" s="8">
        <f>HYPERLINK("https://github.com/" &amp; "open-cmsis-pack" &amp; "/" &amp; A90, A90)</f>
        <v/>
      </c>
      <c r="J90" s="2" t="n"/>
    </row>
    <row r="91">
      <c r="A91" t="inlineStr">
        <is>
          <t>STM32F7xx_DFP</t>
        </is>
      </c>
      <c r="B91" s="3" t="n">
        <v>46071.50782407408</v>
      </c>
      <c r="C91" t="inlineStr">
        <is>
          <t>PUBLIC</t>
        </is>
      </c>
      <c r="D91" t="b">
        <v>0</v>
      </c>
      <c r="E91" s="4" t="n">
        <v>27</v>
      </c>
      <c r="F91" s="4" t="n">
        <v>60</v>
      </c>
      <c r="G91" s="4" t="n">
        <v>59</v>
      </c>
      <c r="H91" t="inlineStr">
        <is>
          <t>OK</t>
        </is>
      </c>
      <c r="I91" s="5">
        <f>HYPERLINK("https://github.com/" &amp; "open-cmsis-pack" &amp; "/" &amp; A91, A91)</f>
        <v/>
      </c>
    </row>
    <row r="92">
      <c r="A92" s="2" t="inlineStr">
        <is>
          <t>STM32F769I-EVAL_BSP</t>
        </is>
      </c>
      <c r="B92" s="6" t="n">
        <v>46071.49167824074</v>
      </c>
      <c r="C92" s="2" t="inlineStr">
        <is>
          <t>PUBLIC</t>
        </is>
      </c>
      <c r="D92" s="2" t="b">
        <v>0</v>
      </c>
      <c r="E92" s="7" t="n">
        <v>1</v>
      </c>
      <c r="F92" s="7" t="n">
        <v>20</v>
      </c>
      <c r="G92" s="7" t="n">
        <v>3</v>
      </c>
      <c r="H92" s="2" t="inlineStr">
        <is>
          <t>OK</t>
        </is>
      </c>
      <c r="I92" s="8">
        <f>HYPERLINK("https://github.com/" &amp; "open-cmsis-pack" &amp; "/" &amp; A92, A92)</f>
        <v/>
      </c>
      <c r="J92" s="2" t="n"/>
    </row>
    <row r="93">
      <c r="A93" t="inlineStr">
        <is>
          <t>STM32F769I-DISCO_BSP</t>
        </is>
      </c>
      <c r="B93" s="3" t="n">
        <v>46071.4802199074</v>
      </c>
      <c r="C93" t="inlineStr">
        <is>
          <t>PUBLIC</t>
        </is>
      </c>
      <c r="D93" t="b">
        <v>0</v>
      </c>
      <c r="E93" s="4" t="n">
        <v>0</v>
      </c>
      <c r="F93" s="4" t="n">
        <v>20</v>
      </c>
      <c r="G93" s="4" t="n">
        <v>0</v>
      </c>
      <c r="H93" t="inlineStr">
        <is>
          <t>OK</t>
        </is>
      </c>
      <c r="I93" s="5">
        <f>HYPERLINK("https://github.com/" &amp; "open-cmsis-pack" &amp; "/" &amp; A93, A93)</f>
        <v/>
      </c>
    </row>
    <row r="94">
      <c r="A94" s="2" t="inlineStr">
        <is>
          <t>STM32F746G-DISCO_BSP</t>
        </is>
      </c>
      <c r="B94" s="6" t="n">
        <v>46071.41116898148</v>
      </c>
      <c r="C94" s="2" t="inlineStr">
        <is>
          <t>PUBLIC</t>
        </is>
      </c>
      <c r="D94" s="2" t="b">
        <v>0</v>
      </c>
      <c r="E94" s="7" t="n">
        <v>3</v>
      </c>
      <c r="F94" s="7" t="n">
        <v>18</v>
      </c>
      <c r="G94" s="7" t="n">
        <v>3</v>
      </c>
      <c r="H94" s="2" t="inlineStr">
        <is>
          <t>OK</t>
        </is>
      </c>
      <c r="I94" s="8">
        <f>HYPERLINK("https://github.com/" &amp; "open-cmsis-pack" &amp; "/" &amp; A94, A94)</f>
        <v/>
      </c>
      <c r="J94" s="2" t="n"/>
    </row>
    <row r="95">
      <c r="A95" t="inlineStr">
        <is>
          <t>STM32F4xx_DFP</t>
        </is>
      </c>
      <c r="B95" s="3" t="n">
        <v>46071.38248842592</v>
      </c>
      <c r="C95" t="inlineStr">
        <is>
          <t>PUBLIC</t>
        </is>
      </c>
      <c r="D95" t="b">
        <v>0</v>
      </c>
      <c r="E95" s="4" t="n">
        <v>450</v>
      </c>
      <c r="F95" s="4" t="n">
        <v>64</v>
      </c>
      <c r="G95" s="4" t="n">
        <v>914</v>
      </c>
      <c r="H95" t="inlineStr">
        <is>
          <t>OK</t>
        </is>
      </c>
      <c r="I95" s="5">
        <f>HYPERLINK("https://github.com/" &amp; "open-cmsis-pack" &amp; "/" &amp; A95, A95)</f>
        <v/>
      </c>
    </row>
    <row r="96">
      <c r="A96" s="2" t="inlineStr">
        <is>
          <t>STM32F469I-DISCO_BSP</t>
        </is>
      </c>
      <c r="B96" s="6" t="n">
        <v>46070.69607638889</v>
      </c>
      <c r="C96" s="2" t="inlineStr">
        <is>
          <t>PUBLIC</t>
        </is>
      </c>
      <c r="D96" s="2" t="b">
        <v>0</v>
      </c>
      <c r="E96" s="7" t="n">
        <v>0</v>
      </c>
      <c r="F96" s="7" t="n">
        <v>20</v>
      </c>
      <c r="G96" s="7" t="n">
        <v>0</v>
      </c>
      <c r="H96" s="2" t="inlineStr">
        <is>
          <t>OK</t>
        </is>
      </c>
      <c r="I96" s="8">
        <f>HYPERLINK("https://github.com/" &amp; "open-cmsis-pack" &amp; "/" &amp; A96, A96)</f>
        <v/>
      </c>
      <c r="J96" s="2" t="n"/>
    </row>
    <row r="97">
      <c r="A97" t="inlineStr">
        <is>
          <t>STM32F429I-DISC1_BSP</t>
        </is>
      </c>
      <c r="B97" s="3" t="n">
        <v>46070.66454861111</v>
      </c>
      <c r="C97" t="inlineStr">
        <is>
          <t>PUBLIC</t>
        </is>
      </c>
      <c r="D97" t="b">
        <v>0</v>
      </c>
      <c r="E97" s="4" t="n">
        <v>6</v>
      </c>
      <c r="F97" s="4" t="n">
        <v>20</v>
      </c>
      <c r="G97" s="4" t="n">
        <v>16</v>
      </c>
      <c r="H97" t="inlineStr">
        <is>
          <t>OK</t>
        </is>
      </c>
      <c r="I97" s="5">
        <f>HYPERLINK("https://github.com/" &amp; "open-cmsis-pack" &amp; "/" &amp; A97, A97)</f>
        <v/>
      </c>
    </row>
    <row r="98">
      <c r="A98" s="2" t="inlineStr">
        <is>
          <t>STM32F407G-DISC1_BSP</t>
        </is>
      </c>
      <c r="B98" s="6" t="n">
        <v>46070.65868055556</v>
      </c>
      <c r="C98" s="2" t="inlineStr">
        <is>
          <t>PUBLIC</t>
        </is>
      </c>
      <c r="D98" s="2" t="b">
        <v>0</v>
      </c>
      <c r="E98" s="7" t="n">
        <v>17</v>
      </c>
      <c r="F98" s="7" t="n">
        <v>20</v>
      </c>
      <c r="G98" s="7" t="n">
        <v>30</v>
      </c>
      <c r="H98" s="2" t="inlineStr">
        <is>
          <t>OK</t>
        </is>
      </c>
      <c r="I98" s="8">
        <f>HYPERLINK("https://github.com/" &amp; "open-cmsis-pack" &amp; "/" &amp; A98, A98)</f>
        <v/>
      </c>
      <c r="J98" s="2" t="n"/>
    </row>
    <row r="99">
      <c r="A99" t="inlineStr">
        <is>
          <t>STM32F3xx_DFP</t>
        </is>
      </c>
      <c r="B99" s="3" t="n">
        <v>46070.65439814814</v>
      </c>
      <c r="C99" t="inlineStr">
        <is>
          <t>PUBLIC</t>
        </is>
      </c>
      <c r="D99" t="b">
        <v>0</v>
      </c>
      <c r="E99" s="4" t="n">
        <v>21</v>
      </c>
      <c r="F99" s="4" t="n">
        <v>60</v>
      </c>
      <c r="G99" s="4" t="n">
        <v>31</v>
      </c>
      <c r="H99" t="inlineStr">
        <is>
          <t>OK</t>
        </is>
      </c>
      <c r="I99" s="5">
        <f>HYPERLINK("https://github.com/" &amp; "open-cmsis-pack" &amp; "/" &amp; A99, A99)</f>
        <v/>
      </c>
    </row>
    <row r="100">
      <c r="A100" s="2" t="inlineStr">
        <is>
          <t>STM32F3DISCOVERY_BSP</t>
        </is>
      </c>
      <c r="B100" s="6" t="n">
        <v>46070.64702546296</v>
      </c>
      <c r="C100" s="2" t="inlineStr">
        <is>
          <t>PUBLIC</t>
        </is>
      </c>
      <c r="D100" s="2" t="b">
        <v>0</v>
      </c>
      <c r="E100" s="7" t="n">
        <v>2</v>
      </c>
      <c r="F100" s="7" t="n">
        <v>19</v>
      </c>
      <c r="G100" s="7" t="n">
        <v>2</v>
      </c>
      <c r="H100" s="2" t="inlineStr">
        <is>
          <t>OK</t>
        </is>
      </c>
      <c r="I100" s="8">
        <f>HYPERLINK("https://github.com/" &amp; "open-cmsis-pack" &amp; "/" &amp; A100, A100)</f>
        <v/>
      </c>
      <c r="J100" s="2" t="n"/>
    </row>
    <row r="101">
      <c r="A101" t="inlineStr">
        <is>
          <t>STM32F3348-DISCO_BSP</t>
        </is>
      </c>
      <c r="B101" s="3" t="n">
        <v>46070.63969907408</v>
      </c>
      <c r="C101" t="inlineStr">
        <is>
          <t>PUBLIC</t>
        </is>
      </c>
      <c r="D101" t="b">
        <v>0</v>
      </c>
      <c r="E101" s="4" t="n">
        <v>0</v>
      </c>
      <c r="F101" s="4" t="n">
        <v>19</v>
      </c>
      <c r="G101" s="4" t="n">
        <v>0</v>
      </c>
      <c r="H101" t="inlineStr">
        <is>
          <t>OK</t>
        </is>
      </c>
      <c r="I101" s="5">
        <f>HYPERLINK("https://github.com/" &amp; "open-cmsis-pack" &amp; "/" &amp; A101, A101)</f>
        <v/>
      </c>
    </row>
    <row r="102">
      <c r="A102" s="2" t="inlineStr">
        <is>
          <t>STM32F2xx_DFP</t>
        </is>
      </c>
      <c r="B102" s="6" t="n">
        <v>46070.63269675926</v>
      </c>
      <c r="C102" s="2" t="inlineStr">
        <is>
          <t>PUBLIC</t>
        </is>
      </c>
      <c r="D102" s="2" t="b">
        <v>0</v>
      </c>
      <c r="E102" s="7" t="n">
        <v>23</v>
      </c>
      <c r="F102" s="7" t="n">
        <v>61</v>
      </c>
      <c r="G102" s="7" t="n">
        <v>40</v>
      </c>
      <c r="H102" s="2" t="inlineStr">
        <is>
          <t>OK</t>
        </is>
      </c>
      <c r="I102" s="8">
        <f>HYPERLINK("https://github.com/" &amp; "open-cmsis-pack" &amp; "/" &amp; A102, A102)</f>
        <v/>
      </c>
      <c r="J102" s="2" t="n"/>
    </row>
    <row r="103">
      <c r="A103" t="inlineStr">
        <is>
          <t>STM32F0xx_DFP</t>
        </is>
      </c>
      <c r="B103" s="3" t="n">
        <v>46070.62837962963</v>
      </c>
      <c r="C103" t="inlineStr">
        <is>
          <t>PUBLIC</t>
        </is>
      </c>
      <c r="D103" t="b">
        <v>0</v>
      </c>
      <c r="E103" s="4" t="n">
        <v>74</v>
      </c>
      <c r="F103" s="4" t="n">
        <v>70</v>
      </c>
      <c r="G103" s="4" t="n">
        <v>142</v>
      </c>
      <c r="H103" t="inlineStr">
        <is>
          <t>OK</t>
        </is>
      </c>
      <c r="I103" s="5">
        <f>HYPERLINK("https://github.com/" &amp; "open-cmsis-pack" &amp; "/" &amp; A103, A103)</f>
        <v/>
      </c>
    </row>
    <row r="104">
      <c r="A104" s="2" t="inlineStr">
        <is>
          <t>STM32F0DISCOVERY_BSP</t>
        </is>
      </c>
      <c r="B104" s="6" t="n">
        <v>46070.62311342593</v>
      </c>
      <c r="C104" s="2" t="inlineStr">
        <is>
          <t>PUBLIC</t>
        </is>
      </c>
      <c r="D104" s="2" t="b">
        <v>0</v>
      </c>
      <c r="E104" s="7" t="n">
        <v>0</v>
      </c>
      <c r="F104" s="7" t="n">
        <v>21</v>
      </c>
      <c r="G104" s="7" t="n">
        <v>0</v>
      </c>
      <c r="H104" s="2" t="inlineStr">
        <is>
          <t>OK</t>
        </is>
      </c>
      <c r="I104" s="8">
        <f>HYPERLINK("https://github.com/" &amp; "open-cmsis-pack" &amp; "/" &amp; A104, A104)</f>
        <v/>
      </c>
      <c r="J104" s="2" t="n"/>
    </row>
    <row r="105">
      <c r="A105" t="inlineStr">
        <is>
          <t>STM32F072B-DISCO_BSP</t>
        </is>
      </c>
      <c r="B105" s="3" t="n">
        <v>46070.61752314815</v>
      </c>
      <c r="C105" t="inlineStr">
        <is>
          <t>PUBLIC</t>
        </is>
      </c>
      <c r="D105" t="b">
        <v>0</v>
      </c>
      <c r="E105" s="4" t="n">
        <v>3</v>
      </c>
      <c r="F105" s="4" t="n">
        <v>20</v>
      </c>
      <c r="G105" s="4" t="n">
        <v>3</v>
      </c>
      <c r="H105" t="inlineStr">
        <is>
          <t>OK</t>
        </is>
      </c>
      <c r="I105" s="5">
        <f>HYPERLINK("https://github.com/" &amp; "open-cmsis-pack" &amp; "/" &amp; A105, A105)</f>
        <v/>
      </c>
    </row>
    <row r="106">
      <c r="A106" s="2" t="inlineStr">
        <is>
          <t>STM32C0xx_DFP</t>
        </is>
      </c>
      <c r="B106" s="6" t="n">
        <v>46070.5587037037</v>
      </c>
      <c r="C106" s="2" t="inlineStr">
        <is>
          <t>PUBLIC</t>
        </is>
      </c>
      <c r="D106" s="2" t="b">
        <v>0</v>
      </c>
      <c r="E106" s="7" t="n">
        <v>19</v>
      </c>
      <c r="F106" s="7" t="n">
        <v>63</v>
      </c>
      <c r="G106" s="7" t="n">
        <v>58</v>
      </c>
      <c r="H106" s="2" t="inlineStr">
        <is>
          <t>OK</t>
        </is>
      </c>
      <c r="I106" s="8">
        <f>HYPERLINK("https://github.com/" &amp; "open-cmsis-pack" &amp; "/" &amp; A106, A106)</f>
        <v/>
      </c>
      <c r="J106" s="2" t="n"/>
    </row>
    <row r="107">
      <c r="A107" t="inlineStr">
        <is>
          <t>STM32C0316-DK_BSP</t>
        </is>
      </c>
      <c r="B107" s="3" t="n">
        <v>46070.54722222222</v>
      </c>
      <c r="C107" t="inlineStr">
        <is>
          <t>PUBLIC</t>
        </is>
      </c>
      <c r="D107" t="b">
        <v>0</v>
      </c>
      <c r="E107" s="4" t="n">
        <v>0</v>
      </c>
      <c r="F107" s="4" t="n">
        <v>21</v>
      </c>
      <c r="G107" s="4" t="n">
        <v>0</v>
      </c>
      <c r="H107" t="inlineStr">
        <is>
          <t>OK</t>
        </is>
      </c>
      <c r="I107" s="5">
        <f>HYPERLINK("https://github.com/" &amp; "open-cmsis-pack" &amp; "/" &amp; A107, A107)</f>
        <v/>
      </c>
    </row>
    <row r="108">
      <c r="A108" s="2" t="inlineStr">
        <is>
          <t>STM32C0116-DK_BSP</t>
        </is>
      </c>
      <c r="B108" s="6" t="n">
        <v>46070.50618055555</v>
      </c>
      <c r="C108" s="2" t="inlineStr">
        <is>
          <t>PUBLIC</t>
        </is>
      </c>
      <c r="D108" s="2" t="b">
        <v>0</v>
      </c>
      <c r="E108" s="7" t="n">
        <v>2</v>
      </c>
      <c r="F108" s="7" t="n">
        <v>21</v>
      </c>
      <c r="G108" s="7" t="n">
        <v>55</v>
      </c>
      <c r="H108" s="2" t="inlineStr">
        <is>
          <t>OK</t>
        </is>
      </c>
      <c r="I108" s="8">
        <f>HYPERLINK("https://github.com/" &amp; "open-cmsis-pack" &amp; "/" &amp; A108, A108)</f>
        <v/>
      </c>
      <c r="J108" s="2" t="n"/>
    </row>
    <row r="109">
      <c r="A109" t="inlineStr">
        <is>
          <t>STM32373C-EVAL_BSP</t>
        </is>
      </c>
      <c r="B109" s="3" t="n">
        <v>46070.49372685186</v>
      </c>
      <c r="C109" t="inlineStr">
        <is>
          <t>PUBLIC</t>
        </is>
      </c>
      <c r="D109" t="b">
        <v>0</v>
      </c>
      <c r="E109" s="4" t="n">
        <v>1</v>
      </c>
      <c r="F109" s="4" t="n">
        <v>20</v>
      </c>
      <c r="G109" s="4" t="n">
        <v>1</v>
      </c>
      <c r="H109" t="inlineStr">
        <is>
          <t>OK</t>
        </is>
      </c>
      <c r="I109" s="5">
        <f>HYPERLINK("https://github.com/" &amp; "open-cmsis-pack" &amp; "/" &amp; A109, A109)</f>
        <v/>
      </c>
    </row>
    <row r="110">
      <c r="A110" s="2" t="inlineStr">
        <is>
          <t>STM32303E-EVAL_BSP</t>
        </is>
      </c>
      <c r="B110" s="6" t="n">
        <v>46070.44159722222</v>
      </c>
      <c r="C110" s="2" t="inlineStr">
        <is>
          <t>PUBLIC</t>
        </is>
      </c>
      <c r="D110" s="2" t="b">
        <v>0</v>
      </c>
      <c r="E110" s="7" t="n">
        <v>1</v>
      </c>
      <c r="F110" s="7" t="n">
        <v>20</v>
      </c>
      <c r="G110" s="7" t="n">
        <v>1</v>
      </c>
      <c r="H110" s="2" t="inlineStr">
        <is>
          <t>OK</t>
        </is>
      </c>
      <c r="I110" s="8">
        <f>HYPERLINK("https://github.com/" &amp; "open-cmsis-pack" &amp; "/" &amp; A110, A110)</f>
        <v/>
      </c>
      <c r="J110" s="2" t="n"/>
    </row>
    <row r="111">
      <c r="A111" t="inlineStr">
        <is>
          <t>ST_NUCLEO-WL55JC_BSP</t>
        </is>
      </c>
      <c r="B111" s="3" t="n">
        <v>46069.68831018519</v>
      </c>
      <c r="C111" t="inlineStr">
        <is>
          <t>PUBLIC</t>
        </is>
      </c>
      <c r="D111" t="b">
        <v>0</v>
      </c>
      <c r="E111" s="4" t="n">
        <v>3</v>
      </c>
      <c r="F111" s="4" t="n">
        <v>21</v>
      </c>
      <c r="G111" s="4" t="n">
        <v>4</v>
      </c>
      <c r="H111" t="inlineStr">
        <is>
          <t>OK</t>
        </is>
      </c>
      <c r="I111" s="5">
        <f>HYPERLINK("https://github.com/" &amp; "open-cmsis-pack" &amp; "/" &amp; A111, A111)</f>
        <v/>
      </c>
    </row>
    <row r="112">
      <c r="A112" s="2" t="inlineStr">
        <is>
          <t>ST_NUCLEO-WB55RG_BSP</t>
        </is>
      </c>
      <c r="B112" s="6" t="n">
        <v>46069.58219907407</v>
      </c>
      <c r="C112" s="2" t="inlineStr">
        <is>
          <t>PUBLIC</t>
        </is>
      </c>
      <c r="D112" s="2" t="b">
        <v>0</v>
      </c>
      <c r="E112" s="7" t="n">
        <v>1</v>
      </c>
      <c r="F112" s="7" t="n">
        <v>20</v>
      </c>
      <c r="G112" s="7" t="n">
        <v>1</v>
      </c>
      <c r="H112" s="2" t="inlineStr">
        <is>
          <t>OK</t>
        </is>
      </c>
      <c r="I112" s="8">
        <f>HYPERLINK("https://github.com/" &amp; "open-cmsis-pack" &amp; "/" &amp; A112, A112)</f>
        <v/>
      </c>
      <c r="J112" s="2" t="n"/>
    </row>
    <row r="113">
      <c r="A113" t="inlineStr">
        <is>
          <t>ST_NUCLEO-L053R8_BSP</t>
        </is>
      </c>
      <c r="B113" s="3" t="n">
        <v>46069.57491898148</v>
      </c>
      <c r="C113" t="inlineStr">
        <is>
          <t>PUBLIC</t>
        </is>
      </c>
      <c r="D113" t="b">
        <v>0</v>
      </c>
      <c r="E113" s="4" t="n">
        <v>3</v>
      </c>
      <c r="F113" s="4" t="n">
        <v>22</v>
      </c>
      <c r="G113" s="4" t="n">
        <v>9</v>
      </c>
      <c r="H113" t="inlineStr">
        <is>
          <t>OK</t>
        </is>
      </c>
      <c r="I113" s="5">
        <f>HYPERLINK("https://github.com/" &amp; "open-cmsis-pack" &amp; "/" &amp; A113, A113)</f>
        <v/>
      </c>
    </row>
    <row r="114">
      <c r="A114" s="2" t="inlineStr">
        <is>
          <t>csolution-templates</t>
        </is>
      </c>
      <c r="B114" s="6" t="n">
        <v>46048.38372685185</v>
      </c>
      <c r="C114" s="2" t="inlineStr">
        <is>
          <t>PUBLIC</t>
        </is>
      </c>
      <c r="D114" s="2" t="b">
        <v>0</v>
      </c>
      <c r="E114" s="7" t="n"/>
      <c r="F114" s="7" t="n"/>
      <c r="G114" s="7" t="n"/>
      <c r="H114" s="2" t="inlineStr">
        <is>
          <t>RESTRICTED: Must have push access to repository</t>
        </is>
      </c>
      <c r="I114" s="8">
        <f>HYPERLINK("https://github.com/" &amp; "open-cmsis-pack" &amp; "/" &amp; A114, A114)</f>
        <v/>
      </c>
      <c r="J114" s="2" t="n"/>
    </row>
    <row r="115">
      <c r="A115" t="inlineStr">
        <is>
          <t>ST_NUCLEO-L152RE_BSP</t>
        </is>
      </c>
      <c r="B115" s="3" t="n">
        <v>46044.25784722222</v>
      </c>
      <c r="C115" t="inlineStr">
        <is>
          <t>PUBLIC</t>
        </is>
      </c>
      <c r="D115" t="b">
        <v>0</v>
      </c>
      <c r="E115" s="4" t="n">
        <v>0</v>
      </c>
      <c r="F115" s="4" t="n">
        <v>23</v>
      </c>
      <c r="G115" s="4" t="n">
        <v>0</v>
      </c>
      <c r="H115" t="inlineStr">
        <is>
          <t>OK</t>
        </is>
      </c>
      <c r="I115" s="5">
        <f>HYPERLINK("https://github.com/" &amp; "open-cmsis-pack" &amp; "/" &amp; A115, A115)</f>
        <v/>
      </c>
    </row>
    <row r="116">
      <c r="A116" s="2" t="inlineStr">
        <is>
          <t>ST_NUCLEO-F429ZI_BSP</t>
        </is>
      </c>
      <c r="B116" s="6" t="n">
        <v>46043.28682870371</v>
      </c>
      <c r="C116" s="2" t="inlineStr">
        <is>
          <t>PUBLIC</t>
        </is>
      </c>
      <c r="D116" s="2" t="b">
        <v>0</v>
      </c>
      <c r="E116" s="7" t="n">
        <v>7</v>
      </c>
      <c r="F116" s="7" t="n">
        <v>19</v>
      </c>
      <c r="G116" s="7" t="n">
        <v>16</v>
      </c>
      <c r="H116" s="2" t="inlineStr">
        <is>
          <t>OK</t>
        </is>
      </c>
      <c r="I116" s="8">
        <f>HYPERLINK("https://github.com/" &amp; "open-cmsis-pack" &amp; "/" &amp; A116, A116)</f>
        <v/>
      </c>
      <c r="J116" s="2" t="n"/>
    </row>
    <row r="117">
      <c r="A117" t="inlineStr">
        <is>
          <t>Zephyr-Alif</t>
        </is>
      </c>
      <c r="B117" s="3" t="n">
        <v>46041.63748842593</v>
      </c>
      <c r="C117" t="inlineStr">
        <is>
          <t>PUBLIC</t>
        </is>
      </c>
      <c r="D117" t="b">
        <v>0</v>
      </c>
      <c r="E117" s="4" t="n"/>
      <c r="F117" s="4" t="n"/>
      <c r="G117" s="4" t="n"/>
      <c r="H117" t="inlineStr">
        <is>
          <t>RESTRICTED: Must have push access to repository</t>
        </is>
      </c>
      <c r="I117" s="5">
        <f>HYPERLINK("https://github.com/" &amp; "open-cmsis-pack" &amp; "/" &amp; A117, A117)</f>
        <v/>
      </c>
    </row>
    <row r="118">
      <c r="A118" s="2" t="inlineStr">
        <is>
          <t>ST_NUCLEO-F412ZG_BSP</t>
        </is>
      </c>
      <c r="B118" s="6" t="n">
        <v>46038.69447916667</v>
      </c>
      <c r="C118" s="2" t="inlineStr">
        <is>
          <t>PUBLIC</t>
        </is>
      </c>
      <c r="D118" s="2" t="b">
        <v>0</v>
      </c>
      <c r="E118" s="7" t="n">
        <v>4</v>
      </c>
      <c r="F118" s="7" t="n">
        <v>19</v>
      </c>
      <c r="G118" s="7" t="n">
        <v>8</v>
      </c>
      <c r="H118" s="2" t="inlineStr">
        <is>
          <t>OK</t>
        </is>
      </c>
      <c r="I118" s="8">
        <f>HYPERLINK("https://github.com/" &amp; "open-cmsis-pack" &amp; "/" &amp; A118, A118)</f>
        <v/>
      </c>
      <c r="J118" s="2" t="n"/>
    </row>
    <row r="119">
      <c r="A119" t="inlineStr">
        <is>
          <t>Zephyr-ST</t>
        </is>
      </c>
      <c r="B119" s="3" t="n">
        <v>46038.66304398148</v>
      </c>
      <c r="C119" t="inlineStr">
        <is>
          <t>PUBLIC</t>
        </is>
      </c>
      <c r="D119" t="b">
        <v>0</v>
      </c>
      <c r="E119" s="4" t="n"/>
      <c r="F119" s="4" t="n"/>
      <c r="G119" s="4" t="n"/>
      <c r="H119" t="inlineStr">
        <is>
          <t>RESTRICTED: Must have push access to repository</t>
        </is>
      </c>
      <c r="I119" s="5">
        <f>HYPERLINK("https://github.com/" &amp; "open-cmsis-pack" &amp; "/" &amp; A119, A119)</f>
        <v/>
      </c>
    </row>
    <row r="120">
      <c r="A120" s="2" t="inlineStr">
        <is>
          <t>ST_NUCLEO-F401RE_BSP</t>
        </is>
      </c>
      <c r="B120" s="6" t="n">
        <v>46037.36788194445</v>
      </c>
      <c r="C120" s="2" t="inlineStr">
        <is>
          <t>PUBLIC</t>
        </is>
      </c>
      <c r="D120" s="2" t="b">
        <v>0</v>
      </c>
      <c r="E120" s="7" t="n">
        <v>7</v>
      </c>
      <c r="F120" s="7" t="n">
        <v>19</v>
      </c>
      <c r="G120" s="7" t="n">
        <v>21</v>
      </c>
      <c r="H120" s="2" t="inlineStr">
        <is>
          <t>OK</t>
        </is>
      </c>
      <c r="I120" s="8">
        <f>HYPERLINK("https://github.com/" &amp; "open-cmsis-pack" &amp; "/" &amp; A120, A120)</f>
        <v/>
      </c>
      <c r="J120" s="2" t="n"/>
    </row>
    <row r="121">
      <c r="A121" t="inlineStr">
        <is>
          <t>ST_NUCLEO-F091RC_BSP</t>
        </is>
      </c>
      <c r="B121" s="3" t="n">
        <v>46037.25715277778</v>
      </c>
      <c r="C121" t="inlineStr">
        <is>
          <t>PUBLIC</t>
        </is>
      </c>
      <c r="D121" t="b">
        <v>0</v>
      </c>
      <c r="E121" s="4" t="n">
        <v>1</v>
      </c>
      <c r="F121" s="4" t="n">
        <v>19</v>
      </c>
      <c r="G121" s="4" t="n">
        <v>1</v>
      </c>
      <c r="H121" t="inlineStr">
        <is>
          <t>OK</t>
        </is>
      </c>
      <c r="I121" s="5">
        <f>HYPERLINK("https://github.com/" &amp; "open-cmsis-pack" &amp; "/" &amp; A121, A121)</f>
        <v/>
      </c>
    </row>
    <row r="122">
      <c r="A122" s="2" t="inlineStr">
        <is>
          <t>ST_NUCLEO-F030R8_BSP</t>
        </is>
      </c>
      <c r="B122" s="6" t="n">
        <v>46037.25681712963</v>
      </c>
      <c r="C122" s="2" t="inlineStr">
        <is>
          <t>PUBLIC</t>
        </is>
      </c>
      <c r="D122" s="2" t="b">
        <v>0</v>
      </c>
      <c r="E122" s="7" t="n">
        <v>4</v>
      </c>
      <c r="F122" s="7" t="n">
        <v>20</v>
      </c>
      <c r="G122" s="7" t="n">
        <v>4</v>
      </c>
      <c r="H122" s="2" t="inlineStr">
        <is>
          <t>OK</t>
        </is>
      </c>
      <c r="I122" s="8">
        <f>HYPERLINK("https://github.com/" &amp; "open-cmsis-pack" &amp; "/" &amp; A122, A122)</f>
        <v/>
      </c>
      <c r="J122" s="2" t="n"/>
    </row>
    <row r="123">
      <c r="A123" t="inlineStr">
        <is>
          <t>ST_NUCLEO-H743ZI2_BSP</t>
        </is>
      </c>
      <c r="B123" s="3" t="n">
        <v>46036.60623842593</v>
      </c>
      <c r="C123" t="inlineStr">
        <is>
          <t>PUBLIC</t>
        </is>
      </c>
      <c r="D123" t="b">
        <v>0</v>
      </c>
      <c r="E123" s="4" t="n">
        <v>7</v>
      </c>
      <c r="F123" s="4" t="n">
        <v>21</v>
      </c>
      <c r="G123" s="4" t="n">
        <v>8</v>
      </c>
      <c r="H123" t="inlineStr">
        <is>
          <t>OK</t>
        </is>
      </c>
      <c r="I123" s="5">
        <f>HYPERLINK("https://github.com/" &amp; "open-cmsis-pack" &amp; "/" &amp; A123, A123)</f>
        <v/>
      </c>
    </row>
    <row r="124">
      <c r="A124" s="2" t="inlineStr">
        <is>
          <t>ST_NUCLEO-F746ZG_BSP</t>
        </is>
      </c>
      <c r="B124" s="6" t="n">
        <v>46036.57944444445</v>
      </c>
      <c r="C124" s="2" t="inlineStr">
        <is>
          <t>PUBLIC</t>
        </is>
      </c>
      <c r="D124" s="2" t="b">
        <v>0</v>
      </c>
      <c r="E124" s="7" t="n">
        <v>0</v>
      </c>
      <c r="F124" s="7" t="n">
        <v>16</v>
      </c>
      <c r="G124" s="7" t="n">
        <v>0</v>
      </c>
      <c r="H124" s="2" t="inlineStr">
        <is>
          <t>OK</t>
        </is>
      </c>
      <c r="I124" s="8">
        <f>HYPERLINK("https://github.com/" &amp; "open-cmsis-pack" &amp; "/" &amp; A124, A124)</f>
        <v/>
      </c>
      <c r="J124" s="2" t="n"/>
    </row>
    <row r="125">
      <c r="A125" t="inlineStr">
        <is>
          <t>ST_NUCLEO-H563ZI_BSP</t>
        </is>
      </c>
      <c r="B125" s="3" t="n">
        <v>46000.57476851852</v>
      </c>
      <c r="C125" t="inlineStr">
        <is>
          <t>PUBLIC</t>
        </is>
      </c>
      <c r="D125" t="b">
        <v>0</v>
      </c>
      <c r="E125" s="4" t="n">
        <v>3</v>
      </c>
      <c r="F125" s="4" t="n">
        <v>19</v>
      </c>
      <c r="G125" s="4" t="n">
        <v>15</v>
      </c>
      <c r="H125" t="inlineStr">
        <is>
          <t>OK</t>
        </is>
      </c>
      <c r="I125" s="5">
        <f>HYPERLINK("https://github.com/" &amp; "open-cmsis-pack" &amp; "/" &amp; A125, A125)</f>
        <v/>
      </c>
    </row>
    <row r="126">
      <c r="A126" s="2" t="inlineStr">
        <is>
          <t>ST_NUCLEO-G474RE_BSP</t>
        </is>
      </c>
      <c r="B126" s="6" t="n">
        <v>46000.57341435185</v>
      </c>
      <c r="C126" s="2" t="inlineStr">
        <is>
          <t>PUBLIC</t>
        </is>
      </c>
      <c r="D126" s="2" t="b">
        <v>0</v>
      </c>
      <c r="E126" s="7" t="n">
        <v>4</v>
      </c>
      <c r="F126" s="7" t="n">
        <v>20</v>
      </c>
      <c r="G126" s="7" t="n">
        <v>8</v>
      </c>
      <c r="H126" s="2" t="inlineStr">
        <is>
          <t>OK</t>
        </is>
      </c>
      <c r="I126" s="8">
        <f>HYPERLINK("https://github.com/" &amp; "open-cmsis-pack" &amp; "/" &amp; A126, A126)</f>
        <v/>
      </c>
      <c r="J126" s="2" t="n"/>
    </row>
    <row r="127">
      <c r="A127" t="inlineStr">
        <is>
          <t>ST_NUCLEO-G0B1RE_BSP</t>
        </is>
      </c>
      <c r="B127" s="3" t="n">
        <v>46000.57309027778</v>
      </c>
      <c r="C127" t="inlineStr">
        <is>
          <t>PUBLIC</t>
        </is>
      </c>
      <c r="D127" t="b">
        <v>0</v>
      </c>
      <c r="E127" s="4" t="n">
        <v>4</v>
      </c>
      <c r="F127" s="4" t="n">
        <v>18</v>
      </c>
      <c r="G127" s="4" t="n">
        <v>24</v>
      </c>
      <c r="H127" t="inlineStr">
        <is>
          <t>OK</t>
        </is>
      </c>
      <c r="I127" s="5">
        <f>HYPERLINK("https://github.com/" &amp; "open-cmsis-pack" &amp; "/" &amp; A127, A127)</f>
        <v/>
      </c>
    </row>
    <row r="128">
      <c r="A128" s="2" t="inlineStr">
        <is>
          <t>ST_NUCLEO-F756ZG_BSP</t>
        </is>
      </c>
      <c r="B128" s="6" t="n">
        <v>46000.57240740741</v>
      </c>
      <c r="C128" s="2" t="inlineStr">
        <is>
          <t>PUBLIC</t>
        </is>
      </c>
      <c r="D128" s="2" t="b">
        <v>0</v>
      </c>
      <c r="E128" s="7" t="n">
        <v>1</v>
      </c>
      <c r="F128" s="7" t="n">
        <v>19</v>
      </c>
      <c r="G128" s="7" t="n">
        <v>1</v>
      </c>
      <c r="H128" s="2" t="inlineStr">
        <is>
          <t>OK</t>
        </is>
      </c>
      <c r="I128" s="8">
        <f>HYPERLINK("https://github.com/" &amp; "open-cmsis-pack" &amp; "/" &amp; A128, A128)</f>
        <v/>
      </c>
      <c r="J128" s="2" t="n"/>
    </row>
    <row r="129">
      <c r="A129" t="inlineStr">
        <is>
          <t>ST_NUCLEO-F446RE_BSP</t>
        </is>
      </c>
      <c r="B129" s="3" t="n">
        <v>46000.56690972222</v>
      </c>
      <c r="C129" t="inlineStr">
        <is>
          <t>PUBLIC</t>
        </is>
      </c>
      <c r="D129" t="b">
        <v>0</v>
      </c>
      <c r="E129" s="4" t="n">
        <v>13</v>
      </c>
      <c r="F129" s="4" t="n">
        <v>21</v>
      </c>
      <c r="G129" s="4" t="n">
        <v>45</v>
      </c>
      <c r="H129" t="inlineStr">
        <is>
          <t>OK</t>
        </is>
      </c>
      <c r="I129" s="5">
        <f>HYPERLINK("https://github.com/" &amp; "open-cmsis-pack" &amp; "/" &amp; A129, A129)</f>
        <v/>
      </c>
    </row>
    <row r="130">
      <c r="A130" s="2" t="inlineStr">
        <is>
          <t>ST_NUCLEO-F072RB_BSP</t>
        </is>
      </c>
      <c r="B130" s="6" t="n">
        <v>45999.52037037037</v>
      </c>
      <c r="C130" s="2" t="inlineStr">
        <is>
          <t>PUBLIC</t>
        </is>
      </c>
      <c r="D130" s="2" t="b">
        <v>0</v>
      </c>
      <c r="E130" s="7" t="n">
        <v>2</v>
      </c>
      <c r="F130" s="7" t="n">
        <v>18</v>
      </c>
      <c r="G130" s="7" t="n">
        <v>3</v>
      </c>
      <c r="H130" s="2" t="inlineStr">
        <is>
          <t>OK</t>
        </is>
      </c>
      <c r="I130" s="8">
        <f>HYPERLINK("https://github.com/" &amp; "open-cmsis-pack" &amp; "/" &amp; A130, A130)</f>
        <v/>
      </c>
      <c r="J130" s="2" t="n"/>
    </row>
    <row r="131">
      <c r="A131" t="inlineStr">
        <is>
          <t>ST_B-U585I-IOT02A_BSP</t>
        </is>
      </c>
      <c r="B131" s="3" t="n">
        <v>45996.62152777778</v>
      </c>
      <c r="C131" t="inlineStr">
        <is>
          <t>PUBLIC</t>
        </is>
      </c>
      <c r="D131" t="b">
        <v>0</v>
      </c>
      <c r="E131" s="4" t="n">
        <v>1</v>
      </c>
      <c r="F131" s="4" t="n">
        <v>19</v>
      </c>
      <c r="G131" s="4" t="n">
        <v>8</v>
      </c>
      <c r="H131" t="inlineStr">
        <is>
          <t>OK</t>
        </is>
      </c>
      <c r="I131" s="5">
        <f>HYPERLINK("https://github.com/" &amp; "open-cmsis-pack" &amp; "/" &amp; A131, A131)</f>
        <v/>
      </c>
    </row>
    <row r="132">
      <c r="A132" s="2" t="inlineStr">
        <is>
          <t>ST_B-L475E-IOT01A_BSP</t>
        </is>
      </c>
      <c r="B132" s="6" t="n">
        <v>45996.61212962963</v>
      </c>
      <c r="C132" s="2" t="inlineStr">
        <is>
          <t>PUBLIC</t>
        </is>
      </c>
      <c r="D132" s="2" t="b">
        <v>0</v>
      </c>
      <c r="E132" s="7" t="n">
        <v>2</v>
      </c>
      <c r="F132" s="7" t="n">
        <v>20</v>
      </c>
      <c r="G132" s="7" t="n">
        <v>5</v>
      </c>
      <c r="H132" s="2" t="inlineStr">
        <is>
          <t>OK</t>
        </is>
      </c>
      <c r="I132" s="8">
        <f>HYPERLINK("https://github.com/" &amp; "open-cmsis-pack" &amp; "/" &amp; A132, A132)</f>
        <v/>
      </c>
      <c r="J132" s="2" t="n"/>
    </row>
    <row r="133">
      <c r="A133" t="inlineStr">
        <is>
          <t>ST_B-L462E-CELL1_BSP</t>
        </is>
      </c>
      <c r="B133" s="3" t="n">
        <v>45996.60950231482</v>
      </c>
      <c r="C133" t="inlineStr">
        <is>
          <t>PUBLIC</t>
        </is>
      </c>
      <c r="D133" t="b">
        <v>0</v>
      </c>
      <c r="E133" s="4" t="n">
        <v>0</v>
      </c>
      <c r="F133" s="4" t="n">
        <v>20</v>
      </c>
      <c r="G133" s="4" t="n">
        <v>0</v>
      </c>
      <c r="H133" t="inlineStr">
        <is>
          <t>OK</t>
        </is>
      </c>
      <c r="I133" s="5">
        <f>HYPERLINK("https://github.com/" &amp; "open-cmsis-pack" &amp; "/" &amp; A133, A133)</f>
        <v/>
      </c>
    </row>
    <row r="134">
      <c r="A134" s="2" t="inlineStr">
        <is>
          <t>Sensor-SDK-Example</t>
        </is>
      </c>
      <c r="B134" s="6" t="n">
        <v>45996.60650462963</v>
      </c>
      <c r="C134" s="2" t="inlineStr">
        <is>
          <t>PUBLIC</t>
        </is>
      </c>
      <c r="D134" s="2" t="b">
        <v>0</v>
      </c>
      <c r="E134" s="7" t="n">
        <v>2</v>
      </c>
      <c r="F134" s="7" t="n">
        <v>20</v>
      </c>
      <c r="G134" s="7" t="n">
        <v>7</v>
      </c>
      <c r="H134" s="2" t="inlineStr">
        <is>
          <t>OK</t>
        </is>
      </c>
      <c r="I134" s="8">
        <f>HYPERLINK("https://github.com/" &amp; "open-cmsis-pack" &amp; "/" &amp; A134, A134)</f>
        <v/>
      </c>
      <c r="J134" s="2" t="n"/>
    </row>
    <row r="135">
      <c r="A135" t="inlineStr">
        <is>
          <t>lwIP</t>
        </is>
      </c>
      <c r="B135" s="3" t="n">
        <v>45989.39177083333</v>
      </c>
      <c r="C135" t="inlineStr">
        <is>
          <t>PUBLIC</t>
        </is>
      </c>
      <c r="D135" t="b">
        <v>0</v>
      </c>
      <c r="E135" s="4" t="n"/>
      <c r="F135" s="4" t="n"/>
      <c r="G135" s="4" t="n"/>
      <c r="H135" t="inlineStr">
        <is>
          <t>RESTRICTED: Must have push access to repository</t>
        </is>
      </c>
      <c r="I135" s="5">
        <f>HYPERLINK("https://github.com/" &amp; "open-cmsis-pack" &amp; "/" &amp; A135, A135)</f>
        <v/>
      </c>
    </row>
    <row r="136">
      <c r="A136" s="2" t="inlineStr">
        <is>
          <t>BSP-Pack-HandsOn</t>
        </is>
      </c>
      <c r="B136" s="6" t="n">
        <v>45954.27773148148</v>
      </c>
      <c r="C136" s="2" t="inlineStr">
        <is>
          <t>PUBLIC</t>
        </is>
      </c>
      <c r="D136" s="2" t="b">
        <v>0</v>
      </c>
      <c r="E136" s="7" t="n"/>
      <c r="F136" s="7" t="n"/>
      <c r="G136" s="7" t="n"/>
      <c r="H136" s="2" t="inlineStr">
        <is>
          <t>RESTRICTED: Must have push access to repository</t>
        </is>
      </c>
      <c r="I136" s="8">
        <f>HYPERLINK("https://github.com/" &amp; "open-cmsis-pack" &amp; "/" &amp; A136, A136)</f>
        <v/>
      </c>
      <c r="J136" s="2" t="n"/>
    </row>
    <row r="137">
      <c r="A137" t="inlineStr">
        <is>
          <t>GSP-Pack-HandsOn</t>
        </is>
      </c>
      <c r="B137" s="3" t="n">
        <v>45946.5483912037</v>
      </c>
      <c r="C137" t="inlineStr">
        <is>
          <t>PUBLIC</t>
        </is>
      </c>
      <c r="D137" t="b">
        <v>0</v>
      </c>
      <c r="E137" s="4" t="n"/>
      <c r="F137" s="4" t="n"/>
      <c r="G137" s="4" t="n"/>
      <c r="H137" t="inlineStr">
        <is>
          <t>RESTRICTED: Must have push access to repository</t>
        </is>
      </c>
      <c r="I137" s="5">
        <f>HYPERLINK("https://github.com/" &amp; "open-cmsis-pack" &amp; "/" &amp; A137, A137)</f>
        <v/>
      </c>
    </row>
    <row r="138">
      <c r="A138" s="2" t="inlineStr">
        <is>
          <t>DFP-Pack-HandsOn</t>
        </is>
      </c>
      <c r="B138" s="6" t="n">
        <v>45946.54659722222</v>
      </c>
      <c r="C138" s="2" t="inlineStr">
        <is>
          <t>PUBLIC</t>
        </is>
      </c>
      <c r="D138" s="2" t="b">
        <v>0</v>
      </c>
      <c r="E138" s="7" t="n"/>
      <c r="F138" s="7" t="n"/>
      <c r="G138" s="7" t="n"/>
      <c r="H138" s="2" t="inlineStr">
        <is>
          <t>RESTRICTED: Must have push access to repository</t>
        </is>
      </c>
      <c r="I138" s="8">
        <f>HYPERLINK("https://github.com/" &amp; "open-cmsis-pack" &amp; "/" &amp; A138, A138)</f>
        <v/>
      </c>
      <c r="J138" s="2" t="n"/>
    </row>
    <row r="139">
      <c r="A139" t="inlineStr">
        <is>
          <t>ST_NUCLEO-L552ZE-Q_BSP</t>
        </is>
      </c>
      <c r="B139" s="3" t="n">
        <v>45917.32682870371</v>
      </c>
      <c r="C139" t="inlineStr">
        <is>
          <t>PUBLIC</t>
        </is>
      </c>
      <c r="D139" t="b">
        <v>0</v>
      </c>
      <c r="E139" s="4" t="n">
        <v>1</v>
      </c>
      <c r="F139" s="4" t="n">
        <v>19</v>
      </c>
      <c r="G139" s="4" t="n">
        <v>1</v>
      </c>
      <c r="H139" t="inlineStr">
        <is>
          <t>OK</t>
        </is>
      </c>
      <c r="I139" s="5">
        <f>HYPERLINK("https://github.com/" &amp; "open-cmsis-pack" &amp; "/" &amp; A139, A139)</f>
        <v/>
      </c>
    </row>
    <row r="140">
      <c r="A140" s="2" t="inlineStr">
        <is>
          <t>STM32L0538-DISCO_BSP</t>
        </is>
      </c>
      <c r="B140" s="6" t="n">
        <v>45910.35706018518</v>
      </c>
      <c r="C140" s="2" t="inlineStr">
        <is>
          <t>PUBLIC</t>
        </is>
      </c>
      <c r="D140" s="2" t="b">
        <v>0</v>
      </c>
      <c r="E140" s="7" t="n">
        <v>0</v>
      </c>
      <c r="F140" s="7" t="n">
        <v>20</v>
      </c>
      <c r="G140" s="7" t="n">
        <v>0</v>
      </c>
      <c r="H140" s="2" t="inlineStr">
        <is>
          <t>OK</t>
        </is>
      </c>
      <c r="I140" s="8">
        <f>HYPERLINK("https://github.com/" &amp; "open-cmsis-pack" &amp; "/" &amp; A140, A140)</f>
        <v/>
      </c>
      <c r="J140" s="2" t="n"/>
    </row>
    <row r="141">
      <c r="A141" t="inlineStr">
        <is>
          <t>STM32L073Z-EVAL_BSP</t>
        </is>
      </c>
      <c r="B141" s="3" t="n">
        <v>45910.35684027777</v>
      </c>
      <c r="C141" t="inlineStr">
        <is>
          <t>PUBLIC</t>
        </is>
      </c>
      <c r="D141" t="b">
        <v>0</v>
      </c>
      <c r="E141" s="4" t="n">
        <v>0</v>
      </c>
      <c r="F141" s="4" t="n">
        <v>17</v>
      </c>
      <c r="G141" s="4" t="n">
        <v>0</v>
      </c>
      <c r="H141" t="inlineStr">
        <is>
          <t>OK</t>
        </is>
      </c>
      <c r="I141" s="5">
        <f>HYPERLINK("https://github.com/" &amp; "open-cmsis-pack" &amp; "/" &amp; A141, A141)</f>
        <v/>
      </c>
    </row>
    <row r="142">
      <c r="A142" s="2" t="inlineStr">
        <is>
          <t>ST_NUCLEO-L476RG_BSP</t>
        </is>
      </c>
      <c r="B142" s="6" t="n">
        <v>45887.4825462963</v>
      </c>
      <c r="C142" s="2" t="inlineStr">
        <is>
          <t>PUBLIC</t>
        </is>
      </c>
      <c r="D142" s="2" t="b">
        <v>0</v>
      </c>
      <c r="E142" s="7" t="n">
        <v>3</v>
      </c>
      <c r="F142" s="7" t="n">
        <v>18</v>
      </c>
      <c r="G142" s="7" t="n">
        <v>15</v>
      </c>
      <c r="H142" s="2" t="inlineStr">
        <is>
          <t>OK</t>
        </is>
      </c>
      <c r="I142" s="8">
        <f>HYPERLINK("https://github.com/" &amp; "open-cmsis-pack" &amp; "/" &amp; A142, A142)</f>
        <v/>
      </c>
      <c r="J142" s="2" t="n"/>
    </row>
    <row r="143">
      <c r="A143" t="inlineStr">
        <is>
          <t>RefApp-Framework</t>
        </is>
      </c>
      <c r="B143" s="3" t="n">
        <v>45621.56777777777</v>
      </c>
      <c r="C143" t="inlineStr">
        <is>
          <t>PUBLIC</t>
        </is>
      </c>
      <c r="D143" t="b">
        <v>0</v>
      </c>
      <c r="E143" s="4" t="n"/>
      <c r="F143" s="4" t="n"/>
      <c r="G143" s="4" t="n"/>
      <c r="H143" t="inlineStr">
        <is>
          <t>RESTRICTED: Must have push access to repository</t>
        </is>
      </c>
      <c r="I143" s="5">
        <f>HYPERLINK("https://github.com/" &amp; "open-cmsis-pack" &amp; "/" &amp; A143, A143)</f>
        <v/>
      </c>
    </row>
    <row r="144">
      <c r="A144" s="2" t="inlineStr">
        <is>
          <t>Open-CMSIS-Pack-Taxonomy</t>
        </is>
      </c>
      <c r="B144" s="6" t="n">
        <v>45454.52454861111</v>
      </c>
      <c r="C144" s="2" t="inlineStr">
        <is>
          <t>PUBLIC</t>
        </is>
      </c>
      <c r="D144" s="2" t="b">
        <v>0</v>
      </c>
      <c r="E144" s="7" t="n"/>
      <c r="F144" s="7" t="n"/>
      <c r="G144" s="7" t="n"/>
      <c r="H144" s="2" t="inlineStr">
        <is>
          <t>RESTRICTED: Must have push access to repository</t>
        </is>
      </c>
      <c r="I144" s="8">
        <f>HYPERLINK("https://github.com/" &amp; "open-cmsis-pack" &amp; "/" &amp; A144, A144)</f>
        <v/>
      </c>
      <c r="J144" s="2" t="n"/>
    </row>
    <row r="145">
      <c r="A145" t="inlineStr">
        <is>
          <t>Create-Scalable-SW</t>
        </is>
      </c>
      <c r="B145" s="3" t="n">
        <v>45454.46513888889</v>
      </c>
      <c r="C145" t="inlineStr">
        <is>
          <t>PUBLIC</t>
        </is>
      </c>
      <c r="D145" t="b">
        <v>0</v>
      </c>
      <c r="E145" s="4" t="n">
        <v>1</v>
      </c>
      <c r="F145" s="4" t="n">
        <v>19</v>
      </c>
      <c r="G145" s="4" t="n">
        <v>4</v>
      </c>
      <c r="H145" t="inlineStr">
        <is>
          <t>OK</t>
        </is>
      </c>
      <c r="I145" s="5">
        <f>HYPERLINK("https://github.com/" &amp; "open-cmsis-pack" &amp; "/" &amp; A145, A145)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  <col width="13" customWidth="1" min="3" max="3"/>
    <col width="13" customWidth="1" min="4" max="4"/>
    <col width="21" customWidth="1" min="5" max="5"/>
    <col width="21" customWidth="1" min="6" max="6"/>
    <col width="18" customWidth="1" min="7" max="7"/>
    <col width="50" customWidth="1" min="8" max="8"/>
    <col width="60" customWidth="1" min="9" max="9"/>
    <col width="20" customWidth="1" min="10" max="10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</row>
    <row r="2">
      <c r="A2" s="2" t="inlineStr">
        <is>
          <t># Revision History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# Author</t>
        </is>
      </c>
      <c r="B3" t="inlineStr">
        <is>
          <t>OpenAI Codex</t>
        </is>
      </c>
    </row>
    <row r="4">
      <c r="A4" s="2" t="inlineStr">
        <is>
          <t># Date</t>
        </is>
      </c>
      <c r="B4" s="2" t="inlineStr">
        <is>
          <t>2026-06-26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# Change</t>
        </is>
      </c>
      <c r="B5" t="inlineStr">
        <is>
          <t>Initial repository export generated by Get_Repositories.py v1.0.0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# File Description</t>
        </is>
      </c>
    </row>
    <row r="8">
      <c r="A8" s="2" t="inlineStr">
        <is>
          <t># Summary</t>
        </is>
      </c>
      <c r="B8" s="2" t="inlineStr">
        <is>
          <t>Repository data read from a GitHub organization and filtered automatically by visibility, archive status, and activity cutoff.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# Generation Process</t>
        </is>
      </c>
      <c r="B9" t="inlineStr">
        <is>
          <t>Two-stage process: stage 1 automated export by script; stage 2 optional manual filtering if repository-side tags or metadata are missing.</t>
        </is>
      </c>
    </row>
    <row r="10">
      <c r="A10" s="2" t="inlineStr">
        <is>
          <t># Source Script</t>
        </is>
      </c>
      <c r="B10" s="2" t="inlineStr">
        <is>
          <t>Get_Repositories.py v1.0.0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# Suggested Workflows</t>
        </is>
      </c>
      <c r="B11" t="inlineStr">
        <is>
          <t>Excel review, manual repository qualification, and follow-on automation workflows that consume repository lists.</t>
        </is>
      </c>
    </row>
    <row r="12">
      <c r="A12" s="2" t="inlineStr">
        <is>
          <t># Organization</t>
        </is>
      </c>
      <c r="B12" s="2" t="inlineStr">
        <is>
          <t>arm-examples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# Activity Cutoff</t>
        </is>
      </c>
      <c r="B13" t="inlineStr">
        <is>
          <t>2024-06-01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t="inlineStr">
        <is>
          <t># Field Descriptions</t>
        </is>
      </c>
    </row>
    <row r="16">
      <c r="A16" s="2" t="inlineStr">
        <is>
          <t># repository</t>
        </is>
      </c>
      <c r="B16" s="2" t="inlineStr">
        <is>
          <t>Repository name in the selected GitHub organization.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# last_push</t>
        </is>
      </c>
      <c r="B17" t="inlineStr">
        <is>
          <t>Timestamp of the latest push reported by GitHub.</t>
        </is>
      </c>
    </row>
    <row r="18">
      <c r="A18" s="2" t="inlineStr">
        <is>
          <t># visibility</t>
        </is>
      </c>
      <c r="B18" s="2" t="inlineStr">
        <is>
          <t>Normalized repository visibility status after API readout.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# archived</t>
        </is>
      </c>
      <c r="B19" t="inlineStr">
        <is>
          <t>Archive flag returned by GitHub for the repository.</t>
        </is>
      </c>
    </row>
    <row r="20">
      <c r="A20" s="2" t="inlineStr">
        <is>
          <t># unique_visitors_14d</t>
        </is>
      </c>
      <c r="B20" s="2" t="inlineStr">
        <is>
          <t>Unique repository visitors in the last 14 days.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# unique_cloners_14d</t>
        </is>
      </c>
      <c r="B21" t="inlineStr">
        <is>
          <t>Unique repository cloners in the last 14 days.</t>
        </is>
      </c>
    </row>
    <row r="22">
      <c r="A22" s="2" t="inlineStr">
        <is>
          <t># total_views_14d</t>
        </is>
      </c>
      <c r="B22" s="2" t="inlineStr">
        <is>
          <t>Total repository page views in the last 14 days.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t="inlineStr">
        <is>
          <t># traffic_status</t>
        </is>
      </c>
      <c r="B23" t="inlineStr">
        <is>
          <t>Traffic readout result, for example OK or an API access message.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t="inlineStr">
        <is>
          <t>repository</t>
        </is>
      </c>
      <c r="B25" t="inlineStr">
        <is>
          <t>last_push</t>
        </is>
      </c>
      <c r="C25" t="inlineStr">
        <is>
          <t>visibility</t>
        </is>
      </c>
      <c r="D25" t="inlineStr">
        <is>
          <t>archived</t>
        </is>
      </c>
      <c r="E25" t="inlineStr">
        <is>
          <t>unique_visitors_14d</t>
        </is>
      </c>
      <c r="F25" t="inlineStr">
        <is>
          <t>unique_cloners_14d</t>
        </is>
      </c>
      <c r="G25" t="inlineStr">
        <is>
          <t>total_views_14d</t>
        </is>
      </c>
      <c r="H25" t="inlineStr">
        <is>
          <t>traffic_status</t>
        </is>
      </c>
      <c r="I25" t="inlineStr">
        <is>
          <t>link_2_repository</t>
        </is>
      </c>
      <c r="J25" t="inlineStr">
        <is>
          <t>ignore_status</t>
        </is>
      </c>
    </row>
    <row r="26">
      <c r="A26" s="2" t="inlineStr">
        <is>
          <t>topo-lightbulb-moment</t>
        </is>
      </c>
      <c r="B26" s="6" t="n">
        <v>46199.36090277778</v>
      </c>
      <c r="C26" s="2" t="inlineStr">
        <is>
          <t>PUBLIC</t>
        </is>
      </c>
      <c r="D26" s="2" t="b">
        <v>0</v>
      </c>
      <c r="E26" s="7" t="n">
        <v>13</v>
      </c>
      <c r="F26" s="7" t="n">
        <v>96</v>
      </c>
      <c r="G26" s="7" t="n">
        <v>63</v>
      </c>
      <c r="H26" s="2" t="inlineStr">
        <is>
          <t>OK</t>
        </is>
      </c>
      <c r="I26" s="8">
        <f>HYPERLINK("https://github.com/" &amp; "arm-examples" &amp; "/" &amp; A26, A26)</f>
        <v/>
      </c>
      <c r="J26" s="2" t="n"/>
    </row>
    <row r="27">
      <c r="A27" t="inlineStr">
        <is>
          <t>topo-llama-web-ui</t>
        </is>
      </c>
      <c r="B27" s="3" t="n">
        <v>46198.59054398148</v>
      </c>
      <c r="C27" t="inlineStr">
        <is>
          <t>PUBLIC</t>
        </is>
      </c>
      <c r="D27" t="b">
        <v>0</v>
      </c>
      <c r="E27" s="4" t="n">
        <v>8</v>
      </c>
      <c r="F27" s="4" t="n">
        <v>183</v>
      </c>
      <c r="G27" s="4" t="n">
        <v>194</v>
      </c>
      <c r="H27" t="inlineStr">
        <is>
          <t>OK</t>
        </is>
      </c>
      <c r="I27" s="5">
        <f>HYPERLINK("https://github.com/" &amp; "arm-examples" &amp; "/" &amp; A27, A27)</f>
        <v/>
      </c>
    </row>
    <row r="28">
      <c r="A28" s="2" t="inlineStr">
        <is>
          <t>topo-simd-visual-benchmark</t>
        </is>
      </c>
      <c r="B28" s="6" t="n">
        <v>46197.67151620371</v>
      </c>
      <c r="C28" s="2" t="inlineStr">
        <is>
          <t>PUBLIC</t>
        </is>
      </c>
      <c r="D28" s="2" t="b">
        <v>0</v>
      </c>
      <c r="E28" s="7" t="n">
        <v>2</v>
      </c>
      <c r="F28" s="7" t="n">
        <v>37</v>
      </c>
      <c r="G28" s="7" t="n">
        <v>2</v>
      </c>
      <c r="H28" s="2" t="inlineStr">
        <is>
          <t>OK</t>
        </is>
      </c>
      <c r="I28" s="8">
        <f>HYPERLINK("https://github.com/" &amp; "arm-examples" &amp; "/" &amp; A28, A28)</f>
        <v/>
      </c>
      <c r="J28" s="2" t="n"/>
    </row>
    <row r="29">
      <c r="A29" t="inlineStr">
        <is>
          <t>ModelNova</t>
        </is>
      </c>
      <c r="B29" s="3" t="n">
        <v>46197.62680555556</v>
      </c>
      <c r="C29" t="inlineStr">
        <is>
          <t>PUBLIC</t>
        </is>
      </c>
      <c r="D29" t="b">
        <v>0</v>
      </c>
      <c r="E29" s="4" t="n">
        <v>37</v>
      </c>
      <c r="F29" s="4" t="n">
        <v>232</v>
      </c>
      <c r="G29" s="4" t="n">
        <v>1355</v>
      </c>
      <c r="H29" t="inlineStr">
        <is>
          <t>OK</t>
        </is>
      </c>
      <c r="I29" s="5">
        <f>HYPERLINK("https://github.com/" &amp; "arm-examples" &amp; "/" &amp; A29, A29)</f>
        <v/>
      </c>
    </row>
    <row r="30">
      <c r="A30" s="2" t="inlineStr">
        <is>
          <t>topo-imx93-ethos-u65-image-classifier</t>
        </is>
      </c>
      <c r="B30" s="6" t="n">
        <v>46197.59258101852</v>
      </c>
      <c r="C30" s="2" t="inlineStr">
        <is>
          <t>PUBLIC</t>
        </is>
      </c>
      <c r="D30" s="2" t="b">
        <v>0</v>
      </c>
      <c r="E30" s="7" t="n">
        <v>9</v>
      </c>
      <c r="F30" s="7" t="n">
        <v>10</v>
      </c>
      <c r="G30" s="7" t="n">
        <v>78</v>
      </c>
      <c r="H30" s="2" t="inlineStr">
        <is>
          <t>OK</t>
        </is>
      </c>
      <c r="I30" s="8">
        <f>HYPERLINK("https://github.com/" &amp; "arm-examples" &amp; "/" &amp; A30, A30)</f>
        <v/>
      </c>
      <c r="J30" s="2" t="n"/>
    </row>
    <row r="31">
      <c r="A31" t="inlineStr">
        <is>
          <t>Real-Time-Voice-Assistant</t>
        </is>
      </c>
      <c r="B31" s="3" t="n">
        <v>46197.51488425926</v>
      </c>
      <c r="C31" t="inlineStr">
        <is>
          <t>PUBLIC</t>
        </is>
      </c>
      <c r="D31" t="b">
        <v>0</v>
      </c>
      <c r="E31" s="4" t="n">
        <v>18</v>
      </c>
      <c r="F31" s="4" t="n">
        <v>52</v>
      </c>
      <c r="G31" s="4" t="n">
        <v>63</v>
      </c>
      <c r="H31" t="inlineStr">
        <is>
          <t>OK</t>
        </is>
      </c>
      <c r="I31" s="5">
        <f>HYPERLINK("https://github.com/" &amp; "arm-examples" &amp; "/" &amp; A31, A31)</f>
        <v/>
      </c>
    </row>
    <row r="32">
      <c r="A32" s="2" t="inlineStr">
        <is>
          <t>SDS-Examples</t>
        </is>
      </c>
      <c r="B32" s="6" t="n">
        <v>46197.23331018518</v>
      </c>
      <c r="C32" s="2" t="inlineStr">
        <is>
          <t>PUBLIC</t>
        </is>
      </c>
      <c r="D32" s="2" t="b">
        <v>0</v>
      </c>
      <c r="E32" s="7" t="n">
        <v>18</v>
      </c>
      <c r="F32" s="7" t="n">
        <v>79</v>
      </c>
      <c r="G32" s="7" t="n">
        <v>237</v>
      </c>
      <c r="H32" s="2" t="inlineStr">
        <is>
          <t>OK</t>
        </is>
      </c>
      <c r="I32" s="8">
        <f>HYPERLINK("https://github.com/" &amp; "arm-examples" &amp; "/" &amp; A32, A32)</f>
        <v/>
      </c>
      <c r="J32" s="2" t="n"/>
    </row>
    <row r="33">
      <c r="A33" t="inlineStr">
        <is>
          <t>LLM-Runner</t>
        </is>
      </c>
      <c r="B33" s="3" t="n">
        <v>46191.59030092593</v>
      </c>
      <c r="C33" t="inlineStr">
        <is>
          <t>PUBLIC</t>
        </is>
      </c>
      <c r="D33" t="b">
        <v>0</v>
      </c>
      <c r="E33" s="4" t="n">
        <v>12</v>
      </c>
      <c r="F33" s="4" t="n">
        <v>62</v>
      </c>
      <c r="G33" s="4" t="n">
        <v>75</v>
      </c>
      <c r="H33" t="inlineStr">
        <is>
          <t>OK</t>
        </is>
      </c>
      <c r="I33" s="5">
        <f>HYPERLINK("https://github.com/" &amp; "arm-examples" &amp; "/" &amp; A33, A33)</f>
        <v/>
      </c>
    </row>
    <row r="34">
      <c r="A34" s="2" t="inlineStr">
        <is>
          <t>.github</t>
        </is>
      </c>
      <c r="B34" s="6" t="n">
        <v>46190.58696759259</v>
      </c>
      <c r="C34" s="2" t="inlineStr">
        <is>
          <t>PUBLIC</t>
        </is>
      </c>
      <c r="D34" s="2" t="b">
        <v>0</v>
      </c>
      <c r="E34" s="7" t="n">
        <v>26</v>
      </c>
      <c r="F34" s="7" t="n">
        <v>36</v>
      </c>
      <c r="G34" s="7" t="n">
        <v>58</v>
      </c>
      <c r="H34" s="2" t="inlineStr">
        <is>
          <t>OK</t>
        </is>
      </c>
      <c r="I34" s="8">
        <f>HYPERLINK("https://github.com/" &amp; "arm-examples" &amp; "/" &amp; A34, A34)</f>
        <v/>
      </c>
      <c r="J34" s="2" t="n"/>
    </row>
    <row r="35">
      <c r="A35" t="inlineStr">
        <is>
          <t>AVH_CI_Template</t>
        </is>
      </c>
      <c r="B35" s="3" t="n">
        <v>46190.46571759259</v>
      </c>
      <c r="C35" t="inlineStr">
        <is>
          <t>PUBLIC</t>
        </is>
      </c>
      <c r="D35" t="b">
        <v>0</v>
      </c>
      <c r="E35" s="4" t="n">
        <v>79</v>
      </c>
      <c r="F35" s="4" t="n">
        <v>44</v>
      </c>
      <c r="G35" s="4" t="n">
        <v>207</v>
      </c>
      <c r="H35" t="inlineStr">
        <is>
          <t>OK</t>
        </is>
      </c>
      <c r="I35" s="5">
        <f>HYPERLINK("https://github.com/" &amp; "arm-examples" &amp; "/" &amp; A35, A35)</f>
        <v/>
      </c>
    </row>
    <row r="36">
      <c r="A36" s="2" t="inlineStr">
        <is>
          <t>topo-welcome</t>
        </is>
      </c>
      <c r="B36" s="6" t="n">
        <v>46182.65765046296</v>
      </c>
      <c r="C36" s="2" t="inlineStr">
        <is>
          <t>PUBLIC</t>
        </is>
      </c>
      <c r="D36" s="2" t="b">
        <v>0</v>
      </c>
      <c r="E36" s="7" t="n">
        <v>6</v>
      </c>
      <c r="F36" s="7" t="n">
        <v>36</v>
      </c>
      <c r="G36" s="7" t="n">
        <v>16</v>
      </c>
      <c r="H36" s="2" t="inlineStr">
        <is>
          <t>OK</t>
        </is>
      </c>
      <c r="I36" s="8">
        <f>HYPERLINK("https://github.com/" &amp; "arm-examples" &amp; "/" &amp; A36, A36)</f>
        <v/>
      </c>
      <c r="J36" s="2" t="n"/>
    </row>
    <row r="37">
      <c r="A37" t="inlineStr">
        <is>
          <t>CMSIS-Zephyr</t>
        </is>
      </c>
      <c r="B37" s="3" t="n">
        <v>46178.6440625</v>
      </c>
      <c r="C37" t="inlineStr">
        <is>
          <t>PUBLIC</t>
        </is>
      </c>
      <c r="D37" t="b">
        <v>0</v>
      </c>
      <c r="E37" s="4" t="n">
        <v>17</v>
      </c>
      <c r="F37" s="4" t="n">
        <v>28</v>
      </c>
      <c r="G37" s="4" t="n">
        <v>60</v>
      </c>
      <c r="H37" t="inlineStr">
        <is>
          <t>OK</t>
        </is>
      </c>
      <c r="I37" s="5">
        <f>HYPERLINK("https://github.com/" &amp; "arm-examples" &amp; "/" &amp; A37, A37)</f>
        <v/>
      </c>
    </row>
    <row r="38">
      <c r="A38" s="2" t="inlineStr">
        <is>
          <t>Numerics</t>
        </is>
      </c>
      <c r="B38" s="6" t="n">
        <v>46178.58508101852</v>
      </c>
      <c r="C38" s="2" t="inlineStr">
        <is>
          <t>PUBLIC</t>
        </is>
      </c>
      <c r="D38" s="2" t="b">
        <v>0</v>
      </c>
      <c r="E38" s="7" t="n">
        <v>9</v>
      </c>
      <c r="F38" s="7" t="n">
        <v>17</v>
      </c>
      <c r="G38" s="7" t="n">
        <v>33</v>
      </c>
      <c r="H38" s="2" t="inlineStr">
        <is>
          <t>OK</t>
        </is>
      </c>
      <c r="I38" s="8">
        <f>HYPERLINK("https://github.com/" &amp; "arm-examples" &amp; "/" &amp; A38, A38)</f>
        <v/>
      </c>
      <c r="J38" s="2" t="n"/>
    </row>
    <row r="39">
      <c r="A39" t="inlineStr">
        <is>
          <t>FVPs-on-Mac</t>
        </is>
      </c>
      <c r="B39" s="3" t="n">
        <v>46174.15982638889</v>
      </c>
      <c r="C39" t="inlineStr">
        <is>
          <t>PUBLIC</t>
        </is>
      </c>
      <c r="D39" t="b">
        <v>0</v>
      </c>
      <c r="E39" s="4" t="n">
        <v>15</v>
      </c>
      <c r="F39" s="4" t="n">
        <v>28</v>
      </c>
      <c r="G39" s="4" t="n">
        <v>66</v>
      </c>
      <c r="H39" t="inlineStr">
        <is>
          <t>OK</t>
        </is>
      </c>
      <c r="I39" s="5">
        <f>HYPERLINK("https://github.com/" &amp; "arm-examples" &amp; "/" &amp; A39, A39)</f>
        <v/>
      </c>
    </row>
    <row r="40">
      <c r="A40" s="2" t="inlineStr">
        <is>
          <t>executorch-grid-sample-export</t>
        </is>
      </c>
      <c r="B40" s="6" t="n">
        <v>46163.65775462963</v>
      </c>
      <c r="C40" s="2" t="inlineStr">
        <is>
          <t>PUBLIC</t>
        </is>
      </c>
      <c r="D40" s="2" t="b">
        <v>0</v>
      </c>
      <c r="E40" s="7" t="n">
        <v>14</v>
      </c>
      <c r="F40" s="7" t="n">
        <v>22</v>
      </c>
      <c r="G40" s="7" t="n">
        <v>44</v>
      </c>
      <c r="H40" s="2" t="inlineStr">
        <is>
          <t>OK</t>
        </is>
      </c>
      <c r="I40" s="8">
        <f>HYPERLINK("https://github.com/" &amp; "arm-examples" &amp; "/" &amp; A40, A40)</f>
        <v/>
      </c>
      <c r="J40" s="2" t="n"/>
    </row>
    <row r="41">
      <c r="A41" t="inlineStr">
        <is>
          <t>STM32_LiveUpdate</t>
        </is>
      </c>
      <c r="B41" s="3" t="n">
        <v>46163.51571759259</v>
      </c>
      <c r="C41" t="inlineStr">
        <is>
          <t>PUBLIC</t>
        </is>
      </c>
      <c r="D41" t="b">
        <v>0</v>
      </c>
      <c r="E41" s="4" t="n">
        <v>6</v>
      </c>
      <c r="F41" s="4" t="n">
        <v>22</v>
      </c>
      <c r="G41" s="4" t="n">
        <v>6</v>
      </c>
      <c r="H41" t="inlineStr">
        <is>
          <t>OK</t>
        </is>
      </c>
      <c r="I41" s="5">
        <f>HYPERLINK("https://github.com/" &amp; "arm-examples" &amp; "/" &amp; A41, A41)</f>
        <v/>
      </c>
    </row>
    <row r="42">
      <c r="A42" s="2" t="inlineStr">
        <is>
          <t>cmsis-mlek</t>
        </is>
      </c>
      <c r="B42" s="6" t="n">
        <v>46161.57810185185</v>
      </c>
      <c r="C42" s="2" t="inlineStr">
        <is>
          <t>PUBLIC</t>
        </is>
      </c>
      <c r="D42" s="2" t="b">
        <v>0</v>
      </c>
      <c r="E42" s="7" t="n">
        <v>9</v>
      </c>
      <c r="F42" s="7" t="n">
        <v>25</v>
      </c>
      <c r="G42" s="7" t="n">
        <v>36</v>
      </c>
      <c r="H42" s="2" t="inlineStr">
        <is>
          <t>OK</t>
        </is>
      </c>
      <c r="I42" s="8">
        <f>HYPERLINK("https://github.com/" &amp; "arm-examples" &amp; "/" &amp; A42, A42)</f>
        <v/>
      </c>
      <c r="J42" s="2" t="n"/>
    </row>
    <row r="43">
      <c r="A43" t="inlineStr">
        <is>
          <t>Hello_B-U585I-IOT02A</t>
        </is>
      </c>
      <c r="B43" s="3" t="n">
        <v>46160.6112037037</v>
      </c>
      <c r="C43" t="inlineStr">
        <is>
          <t>PUBLIC</t>
        </is>
      </c>
      <c r="D43" t="b">
        <v>0</v>
      </c>
      <c r="E43" s="4" t="n">
        <v>2</v>
      </c>
      <c r="F43" s="4" t="n">
        <v>20</v>
      </c>
      <c r="G43" s="4" t="n">
        <v>2</v>
      </c>
      <c r="H43" t="inlineStr">
        <is>
          <t>OK</t>
        </is>
      </c>
      <c r="I43" s="5">
        <f>HYPERLINK("https://github.com/" &amp; "arm-examples" &amp; "/" &amp; A43, A43)</f>
        <v/>
      </c>
    </row>
    <row r="44">
      <c r="A44" s="2" t="inlineStr">
        <is>
          <t>ML-examples</t>
        </is>
      </c>
      <c r="B44" s="6" t="n">
        <v>46156.38553240741</v>
      </c>
      <c r="C44" s="2" t="inlineStr">
        <is>
          <t>PUBLIC</t>
        </is>
      </c>
      <c r="D44" s="2" t="b">
        <v>0</v>
      </c>
      <c r="E44" s="7" t="n">
        <v>75</v>
      </c>
      <c r="F44" s="7" t="n">
        <v>44</v>
      </c>
      <c r="G44" s="7" t="n">
        <v>172</v>
      </c>
      <c r="H44" s="2" t="inlineStr">
        <is>
          <t>OK</t>
        </is>
      </c>
      <c r="I44" s="8">
        <f>HYPERLINK("https://github.com/" &amp; "arm-examples" &amp; "/" &amp; A44, A44)</f>
        <v/>
      </c>
      <c r="J44" s="2" t="n"/>
    </row>
    <row r="45">
      <c r="A45" t="inlineStr">
        <is>
          <t>mlek-cmsis-pack-examples</t>
        </is>
      </c>
      <c r="B45" s="3" t="n">
        <v>46149.668125</v>
      </c>
      <c r="C45" t="inlineStr">
        <is>
          <t>PUBLIC</t>
        </is>
      </c>
      <c r="D45" t="b">
        <v>0</v>
      </c>
      <c r="E45" s="4" t="n">
        <v>20</v>
      </c>
      <c r="F45" s="4" t="n">
        <v>35</v>
      </c>
      <c r="G45" s="4" t="n">
        <v>51</v>
      </c>
      <c r="H45" t="inlineStr">
        <is>
          <t>OK</t>
        </is>
      </c>
      <c r="I45" s="5">
        <f>HYPERLINK("https://github.com/" &amp; "arm-examples" &amp; "/" &amp; A45, A45)</f>
        <v/>
      </c>
    </row>
    <row r="46">
      <c r="A46" s="2" t="inlineStr">
        <is>
          <t>Hello_NUCLEO-G474RE</t>
        </is>
      </c>
      <c r="B46" s="6" t="n">
        <v>46149.59859953704</v>
      </c>
      <c r="C46" s="2" t="inlineStr">
        <is>
          <t>PUBLIC</t>
        </is>
      </c>
      <c r="D46" s="2" t="b">
        <v>0</v>
      </c>
      <c r="E46" s="7" t="n">
        <v>8</v>
      </c>
      <c r="F46" s="7" t="n">
        <v>76</v>
      </c>
      <c r="G46" s="7" t="n">
        <v>14</v>
      </c>
      <c r="H46" s="2" t="inlineStr">
        <is>
          <t>OK</t>
        </is>
      </c>
      <c r="I46" s="8">
        <f>HYPERLINK("https://github.com/" &amp; "arm-examples" &amp; "/" &amp; A46, A46)</f>
        <v/>
      </c>
      <c r="J46" s="2" t="n"/>
    </row>
    <row r="47">
      <c r="A47" t="inlineStr">
        <is>
          <t>Hello_NUCLEO-F756ZG</t>
        </is>
      </c>
      <c r="B47" s="3" t="n">
        <v>46149.57774305555</v>
      </c>
      <c r="C47" t="inlineStr">
        <is>
          <t>PUBLIC</t>
        </is>
      </c>
      <c r="D47" t="b">
        <v>0</v>
      </c>
      <c r="E47" s="4" t="n">
        <v>0</v>
      </c>
      <c r="F47" s="4" t="n">
        <v>17</v>
      </c>
      <c r="G47" s="4" t="n">
        <v>0</v>
      </c>
      <c r="H47" t="inlineStr">
        <is>
          <t>OK</t>
        </is>
      </c>
      <c r="I47" s="5">
        <f>HYPERLINK("https://github.com/" &amp; "arm-examples" &amp; "/" &amp; A47, A47)</f>
        <v/>
      </c>
    </row>
    <row r="48">
      <c r="A48" s="2" t="inlineStr">
        <is>
          <t>Hello_MIMXRT1064-EVK</t>
        </is>
      </c>
      <c r="B48" s="6" t="n">
        <v>46149.56136574074</v>
      </c>
      <c r="C48" s="2" t="inlineStr">
        <is>
          <t>PUBLIC</t>
        </is>
      </c>
      <c r="D48" s="2" t="b">
        <v>0</v>
      </c>
      <c r="E48" s="7" t="n">
        <v>1</v>
      </c>
      <c r="F48" s="7" t="n">
        <v>22</v>
      </c>
      <c r="G48" s="7" t="n">
        <v>1</v>
      </c>
      <c r="H48" s="2" t="inlineStr">
        <is>
          <t>OK</t>
        </is>
      </c>
      <c r="I48" s="8">
        <f>HYPERLINK("https://github.com/" &amp; "arm-examples" &amp; "/" &amp; A48, A48)</f>
        <v/>
      </c>
      <c r="J48" s="2" t="n"/>
    </row>
    <row r="49">
      <c r="A49" t="inlineStr">
        <is>
          <t>Hello_MIMXRT1060-EVKB</t>
        </is>
      </c>
      <c r="B49" s="3" t="n">
        <v>46149.55346064815</v>
      </c>
      <c r="C49" t="inlineStr">
        <is>
          <t>PUBLIC</t>
        </is>
      </c>
      <c r="D49" t="b">
        <v>0</v>
      </c>
      <c r="E49" s="4" t="n">
        <v>2</v>
      </c>
      <c r="F49" s="4" t="n">
        <v>20</v>
      </c>
      <c r="G49" s="4" t="n">
        <v>8</v>
      </c>
      <c r="H49" t="inlineStr">
        <is>
          <t>OK</t>
        </is>
      </c>
      <c r="I49" s="5">
        <f>HYPERLINK("https://github.com/" &amp; "arm-examples" &amp; "/" &amp; A49, A49)</f>
        <v/>
      </c>
    </row>
    <row r="50">
      <c r="A50" s="2" t="inlineStr">
        <is>
          <t>Hello_LPCXpresso55S69</t>
        </is>
      </c>
      <c r="B50" s="6" t="n">
        <v>46149.536875</v>
      </c>
      <c r="C50" s="2" t="inlineStr">
        <is>
          <t>PUBLIC</t>
        </is>
      </c>
      <c r="D50" s="2" t="b">
        <v>0</v>
      </c>
      <c r="E50" s="7" t="n">
        <v>3</v>
      </c>
      <c r="F50" s="7" t="n">
        <v>249</v>
      </c>
      <c r="G50" s="7" t="n">
        <v>4</v>
      </c>
      <c r="H50" s="2" t="inlineStr">
        <is>
          <t>OK</t>
        </is>
      </c>
      <c r="I50" s="8">
        <f>HYPERLINK("https://github.com/" &amp; "arm-examples" &amp; "/" &amp; A50, A50)</f>
        <v/>
      </c>
      <c r="J50" s="2" t="n"/>
    </row>
    <row r="51">
      <c r="A51" t="inlineStr">
        <is>
          <t>Hello_IMXRT1050-EVKB</t>
        </is>
      </c>
      <c r="B51" s="3" t="n">
        <v>46149.50527777777</v>
      </c>
      <c r="C51" t="inlineStr">
        <is>
          <t>PUBLIC</t>
        </is>
      </c>
      <c r="D51" t="b">
        <v>0</v>
      </c>
      <c r="E51" s="4" t="n">
        <v>0</v>
      </c>
      <c r="F51" s="4" t="n">
        <v>20</v>
      </c>
      <c r="G51" s="4" t="n">
        <v>0</v>
      </c>
      <c r="H51" t="inlineStr">
        <is>
          <t>OK</t>
        </is>
      </c>
      <c r="I51" s="5">
        <f>HYPERLINK("https://github.com/" &amp; "arm-examples" &amp; "/" &amp; A51, A51)</f>
        <v/>
      </c>
    </row>
    <row r="52">
      <c r="A52" s="2" t="inlineStr">
        <is>
          <t>Hello_FRDM-K32L3A6</t>
        </is>
      </c>
      <c r="B52" s="6" t="n">
        <v>46149.48391203704</v>
      </c>
      <c r="C52" s="2" t="inlineStr">
        <is>
          <t>PUBLIC</t>
        </is>
      </c>
      <c r="D52" s="2" t="b">
        <v>0</v>
      </c>
      <c r="E52" s="7" t="n">
        <v>1</v>
      </c>
      <c r="F52" s="7" t="n">
        <v>196</v>
      </c>
      <c r="G52" s="7" t="n">
        <v>1</v>
      </c>
      <c r="H52" s="2" t="inlineStr">
        <is>
          <t>OK</t>
        </is>
      </c>
      <c r="I52" s="8">
        <f>HYPERLINK("https://github.com/" &amp; "arm-examples" &amp; "/" &amp; A52, A52)</f>
        <v/>
      </c>
      <c r="J52" s="2" t="n"/>
    </row>
    <row r="53">
      <c r="A53" t="inlineStr">
        <is>
          <t>CMSIS-Stream_SDS_Demo</t>
        </is>
      </c>
      <c r="B53" s="3" t="n">
        <v>46149.44408564815</v>
      </c>
      <c r="C53" t="inlineStr">
        <is>
          <t>PUBLIC</t>
        </is>
      </c>
      <c r="D53" t="b">
        <v>0</v>
      </c>
      <c r="E53" s="4" t="n">
        <v>2</v>
      </c>
      <c r="F53" s="4" t="n">
        <v>18</v>
      </c>
      <c r="G53" s="4" t="n">
        <v>2</v>
      </c>
      <c r="H53" t="inlineStr">
        <is>
          <t>OK</t>
        </is>
      </c>
      <c r="I53" s="5">
        <f>HYPERLINK("https://github.com/" &amp; "arm-examples" &amp; "/" &amp; A53, A53)</f>
        <v/>
      </c>
    </row>
    <row r="54">
      <c r="A54" s="2" t="inlineStr">
        <is>
          <t>Blinky_FRDM-K32L3A6</t>
        </is>
      </c>
      <c r="B54" s="6" t="n">
        <v>46149.37542824074</v>
      </c>
      <c r="C54" s="2" t="inlineStr">
        <is>
          <t>PUBLIC</t>
        </is>
      </c>
      <c r="D54" s="2" t="b">
        <v>0</v>
      </c>
      <c r="E54" s="7" t="n">
        <v>0</v>
      </c>
      <c r="F54" s="7" t="n">
        <v>20</v>
      </c>
      <c r="G54" s="7" t="n">
        <v>0</v>
      </c>
      <c r="H54" s="2" t="inlineStr">
        <is>
          <t>OK</t>
        </is>
      </c>
      <c r="I54" s="8">
        <f>HYPERLINK("https://github.com/" &amp; "arm-examples" &amp; "/" &amp; A54, A54)</f>
        <v/>
      </c>
      <c r="J54" s="2" t="n"/>
    </row>
    <row r="55">
      <c r="A55" t="inlineStr">
        <is>
          <t>Blinky_AVH_uV</t>
        </is>
      </c>
      <c r="B55" s="3" t="n">
        <v>46149.36890046296</v>
      </c>
      <c r="C55" t="inlineStr">
        <is>
          <t>PUBLIC</t>
        </is>
      </c>
      <c r="D55" t="b">
        <v>0</v>
      </c>
      <c r="E55" s="4" t="n">
        <v>0</v>
      </c>
      <c r="F55" s="4" t="n">
        <v>15</v>
      </c>
      <c r="G55" s="4" t="n">
        <v>0</v>
      </c>
      <c r="H55" t="inlineStr">
        <is>
          <t>OK</t>
        </is>
      </c>
      <c r="I55" s="5">
        <f>HYPERLINK("https://github.com/" &amp; "arm-examples" &amp; "/" &amp; A55, A55)</f>
        <v/>
      </c>
    </row>
    <row r="56">
      <c r="A56" s="2" t="inlineStr">
        <is>
          <t>AVH-VSI</t>
        </is>
      </c>
      <c r="B56" s="6" t="n">
        <v>46148.52607638889</v>
      </c>
      <c r="C56" s="2" t="inlineStr">
        <is>
          <t>PUBLIC</t>
        </is>
      </c>
      <c r="D56" s="2" t="b">
        <v>0</v>
      </c>
      <c r="E56" s="7" t="n">
        <v>1</v>
      </c>
      <c r="F56" s="7" t="n">
        <v>202</v>
      </c>
      <c r="G56" s="7" t="n">
        <v>2</v>
      </c>
      <c r="H56" s="2" t="inlineStr">
        <is>
          <t>OK</t>
        </is>
      </c>
      <c r="I56" s="8">
        <f>HYPERLINK("https://github.com/" &amp; "arm-examples" &amp; "/" &amp; A56, A56)</f>
        <v/>
      </c>
      <c r="J56" s="2" t="n"/>
    </row>
    <row r="57">
      <c r="A57" t="inlineStr">
        <is>
          <t>AWS_MQTT_Demo</t>
        </is>
      </c>
      <c r="B57" s="3" t="n">
        <v>46129.41909722222</v>
      </c>
      <c r="C57" t="inlineStr">
        <is>
          <t>PUBLIC</t>
        </is>
      </c>
      <c r="D57" t="b">
        <v>0</v>
      </c>
      <c r="E57" s="4" t="n">
        <v>5</v>
      </c>
      <c r="F57" s="4" t="n">
        <v>27</v>
      </c>
      <c r="G57" s="4" t="n">
        <v>20</v>
      </c>
      <c r="H57" t="inlineStr">
        <is>
          <t>OK</t>
        </is>
      </c>
      <c r="I57" s="5">
        <f>HYPERLINK("https://github.com/" &amp; "arm-examples" &amp; "/" &amp; A57, A57)</f>
        <v/>
      </c>
    </row>
    <row r="58">
      <c r="A58" s="2" t="inlineStr">
        <is>
          <t>CMSIS-Zephyr-Executorch</t>
        </is>
      </c>
      <c r="B58" s="6" t="n">
        <v>46128.55686342593</v>
      </c>
      <c r="C58" s="2" t="inlineStr">
        <is>
          <t>PUBLIC</t>
        </is>
      </c>
      <c r="D58" s="2" t="b">
        <v>0</v>
      </c>
      <c r="E58" s="7" t="n">
        <v>2</v>
      </c>
      <c r="F58" s="7" t="n">
        <v>23</v>
      </c>
      <c r="G58" s="7" t="n">
        <v>2</v>
      </c>
      <c r="H58" s="2" t="inlineStr">
        <is>
          <t>OK</t>
        </is>
      </c>
      <c r="I58" s="8">
        <f>HYPERLINK("https://github.com/" &amp; "arm-examples" &amp; "/" &amp; A58, A58)</f>
        <v/>
      </c>
      <c r="J58" s="2" t="n"/>
    </row>
    <row r="59">
      <c r="A59" t="inlineStr">
        <is>
          <t>STT-Runner</t>
        </is>
      </c>
      <c r="B59" s="3" t="n">
        <v>46126.53466435185</v>
      </c>
      <c r="C59" t="inlineStr">
        <is>
          <t>PUBLIC</t>
        </is>
      </c>
      <c r="D59" t="b">
        <v>0</v>
      </c>
      <c r="E59" s="4" t="n">
        <v>13</v>
      </c>
      <c r="F59" s="4" t="n">
        <v>31</v>
      </c>
      <c r="G59" s="4" t="n">
        <v>29</v>
      </c>
      <c r="H59" t="inlineStr">
        <is>
          <t>OK</t>
        </is>
      </c>
      <c r="I59" s="5">
        <f>HYPERLINK("https://github.com/" &amp; "arm-examples" &amp; "/" &amp; A59, A59)</f>
        <v/>
      </c>
    </row>
    <row r="60">
      <c r="A60" s="2" t="inlineStr">
        <is>
          <t>Hello_Codespaces</t>
        </is>
      </c>
      <c r="B60" s="6" t="n">
        <v>46126.31586805556</v>
      </c>
      <c r="C60" s="2" t="inlineStr">
        <is>
          <t>PUBLIC</t>
        </is>
      </c>
      <c r="D60" s="2" t="b">
        <v>0</v>
      </c>
      <c r="E60" s="7" t="n">
        <v>18</v>
      </c>
      <c r="F60" s="7" t="n">
        <v>79</v>
      </c>
      <c r="G60" s="7" t="n">
        <v>43</v>
      </c>
      <c r="H60" s="2" t="inlineStr">
        <is>
          <t>OK</t>
        </is>
      </c>
      <c r="I60" s="8">
        <f>HYPERLINK("https://github.com/" &amp; "arm-examples" &amp; "/" &amp; A60, A60)</f>
        <v/>
      </c>
      <c r="J60" s="2" t="n"/>
    </row>
    <row r="61">
      <c r="A61" t="inlineStr">
        <is>
          <t>Safety-Example-Infineon-T2G</t>
        </is>
      </c>
      <c r="B61" s="3" t="n">
        <v>46114.43792824074</v>
      </c>
      <c r="C61" t="inlineStr">
        <is>
          <t>PUBLIC</t>
        </is>
      </c>
      <c r="D61" t="b">
        <v>0</v>
      </c>
      <c r="E61" s="4" t="n">
        <v>12</v>
      </c>
      <c r="F61" s="4" t="n">
        <v>21</v>
      </c>
      <c r="G61" s="4" t="n">
        <v>42</v>
      </c>
      <c r="H61" t="inlineStr">
        <is>
          <t>OK</t>
        </is>
      </c>
      <c r="I61" s="5">
        <f>HYPERLINK("https://github.com/" &amp; "arm-examples" &amp; "/" &amp; A61, A61)</f>
        <v/>
      </c>
    </row>
    <row r="62">
      <c r="A62" s="2" t="inlineStr">
        <is>
          <t>Safety-Example-STM32</t>
        </is>
      </c>
      <c r="B62" s="6" t="n">
        <v>46093.59309027778</v>
      </c>
      <c r="C62" s="2" t="inlineStr">
        <is>
          <t>PUBLIC</t>
        </is>
      </c>
      <c r="D62" s="2" t="b">
        <v>0</v>
      </c>
      <c r="E62" s="7" t="n">
        <v>9</v>
      </c>
      <c r="F62" s="7" t="n">
        <v>23</v>
      </c>
      <c r="G62" s="7" t="n">
        <v>56</v>
      </c>
      <c r="H62" s="2" t="inlineStr">
        <is>
          <t>OK</t>
        </is>
      </c>
      <c r="I62" s="8">
        <f>HYPERLINK("https://github.com/" &amp; "arm-examples" &amp; "/" &amp; A62, A62)</f>
        <v/>
      </c>
      <c r="J62" s="2" t="n"/>
    </row>
    <row r="63">
      <c r="A63" t="inlineStr">
        <is>
          <t>CMSIS-Executorch</t>
        </is>
      </c>
      <c r="B63" s="3" t="n">
        <v>46087.54141203704</v>
      </c>
      <c r="C63" t="inlineStr">
        <is>
          <t>PUBLIC</t>
        </is>
      </c>
      <c r="D63" t="b">
        <v>0</v>
      </c>
      <c r="E63" s="4" t="n">
        <v>12</v>
      </c>
      <c r="F63" s="4" t="n">
        <v>20</v>
      </c>
      <c r="G63" s="4" t="n">
        <v>142</v>
      </c>
      <c r="H63" t="inlineStr">
        <is>
          <t>OK</t>
        </is>
      </c>
      <c r="I63" s="5">
        <f>HYPERLINK("https://github.com/" &amp; "arm-examples" &amp; "/" &amp; A63, A63)</f>
        <v/>
      </c>
    </row>
    <row r="64">
      <c r="A64" s="2" t="inlineStr">
        <is>
          <t>AVH-Hello</t>
        </is>
      </c>
      <c r="B64" s="6" t="n">
        <v>46080.340625</v>
      </c>
      <c r="C64" s="2" t="inlineStr">
        <is>
          <t>PUBLIC</t>
        </is>
      </c>
      <c r="D64" s="2" t="b">
        <v>0</v>
      </c>
      <c r="E64" s="7" t="n">
        <v>14</v>
      </c>
      <c r="F64" s="7" t="n">
        <v>25</v>
      </c>
      <c r="G64" s="7" t="n">
        <v>85</v>
      </c>
      <c r="H64" s="2" t="inlineStr">
        <is>
          <t>OK</t>
        </is>
      </c>
      <c r="I64" s="8">
        <f>HYPERLINK("https://github.com/" &amp; "arm-examples" &amp; "/" &amp; A64, A64)</f>
        <v/>
      </c>
      <c r="J64" s="2" t="n"/>
    </row>
    <row r="65">
      <c r="A65" t="inlineStr">
        <is>
          <t>cmsis-mlek-examples</t>
        </is>
      </c>
      <c r="B65" s="3" t="n">
        <v>46065.48027777778</v>
      </c>
      <c r="C65" t="inlineStr">
        <is>
          <t>PUBLIC</t>
        </is>
      </c>
      <c r="D65" t="b">
        <v>0</v>
      </c>
      <c r="E65" s="4" t="n">
        <v>12</v>
      </c>
      <c r="F65" s="4" t="n">
        <v>23</v>
      </c>
      <c r="G65" s="4" t="n">
        <v>45</v>
      </c>
      <c r="H65" t="inlineStr">
        <is>
          <t>OK</t>
        </is>
      </c>
      <c r="I65" s="5">
        <f>HYPERLINK("https://github.com/" &amp; "arm-examples" &amp; "/" &amp; A65, A65)</f>
        <v/>
      </c>
    </row>
    <row r="66">
      <c r="A66" s="2" t="inlineStr">
        <is>
          <t>Middleware_USB_FS</t>
        </is>
      </c>
      <c r="B66" s="6" t="n">
        <v>46065.47172453703</v>
      </c>
      <c r="C66" s="2" t="inlineStr">
        <is>
          <t>PUBLIC</t>
        </is>
      </c>
      <c r="D66" s="2" t="b">
        <v>0</v>
      </c>
      <c r="E66" s="7" t="n">
        <v>4</v>
      </c>
      <c r="F66" s="7" t="n">
        <v>22</v>
      </c>
      <c r="G66" s="7" t="n">
        <v>13</v>
      </c>
      <c r="H66" s="2" t="inlineStr">
        <is>
          <t>OK</t>
        </is>
      </c>
      <c r="I66" s="8">
        <f>HYPERLINK("https://github.com/" &amp; "arm-examples" &amp; "/" &amp; A66, A66)</f>
        <v/>
      </c>
      <c r="J66" s="2" t="n"/>
    </row>
    <row r="67">
      <c r="A67" t="inlineStr">
        <is>
          <t>CMSIS-Linux</t>
        </is>
      </c>
      <c r="B67" s="3" t="n">
        <v>46064.61265046296</v>
      </c>
      <c r="C67" t="inlineStr">
        <is>
          <t>PUBLIC</t>
        </is>
      </c>
      <c r="D67" t="b">
        <v>0</v>
      </c>
      <c r="E67" s="4" t="n">
        <v>1</v>
      </c>
      <c r="F67" s="4" t="n">
        <v>20</v>
      </c>
      <c r="G67" s="4" t="n">
        <v>10</v>
      </c>
      <c r="H67" t="inlineStr">
        <is>
          <t>OK</t>
        </is>
      </c>
      <c r="I67" s="5">
        <f>HYPERLINK("https://github.com/" &amp; "arm-examples" &amp; "/" &amp; A67, A67)</f>
        <v/>
      </c>
    </row>
    <row r="68">
      <c r="A68" s="2" t="inlineStr">
        <is>
          <t>Hello_World</t>
        </is>
      </c>
      <c r="B68" s="6" t="n">
        <v>46049.62206018518</v>
      </c>
      <c r="C68" s="2" t="inlineStr">
        <is>
          <t>PUBLIC</t>
        </is>
      </c>
      <c r="D68" s="2" t="b">
        <v>0</v>
      </c>
      <c r="E68" s="7" t="n">
        <v>21</v>
      </c>
      <c r="F68" s="7" t="n">
        <v>24</v>
      </c>
      <c r="G68" s="7" t="n">
        <v>46</v>
      </c>
      <c r="H68" s="2" t="inlineStr">
        <is>
          <t>OK</t>
        </is>
      </c>
      <c r="I68" s="8">
        <f>HYPERLINK("https://github.com/" &amp; "arm-examples" &amp; "/" &amp; A68, A68)</f>
        <v/>
      </c>
      <c r="J68" s="2" t="n"/>
    </row>
    <row r="69">
      <c r="A69" t="inlineStr">
        <is>
          <t>verify-cmsis-example-action</t>
        </is>
      </c>
      <c r="B69" s="3" t="n">
        <v>46006.46662037037</v>
      </c>
      <c r="C69" t="inlineStr">
        <is>
          <t>PUBLIC</t>
        </is>
      </c>
      <c r="D69" t="b">
        <v>0</v>
      </c>
      <c r="E69" s="4" t="n">
        <v>3</v>
      </c>
      <c r="F69" s="4" t="n">
        <v>15</v>
      </c>
      <c r="G69" s="4" t="n">
        <v>4</v>
      </c>
      <c r="H69" t="inlineStr">
        <is>
          <t>OK</t>
        </is>
      </c>
      <c r="I69" s="5">
        <f>HYPERLINK("https://github.com/" &amp; "arm-examples" &amp; "/" &amp; A69, A69)</f>
        <v/>
      </c>
    </row>
    <row r="70">
      <c r="A70" s="2" t="inlineStr">
        <is>
          <t>publish-cmsis-example</t>
        </is>
      </c>
      <c r="B70" s="6" t="n">
        <v>45982.30027777778</v>
      </c>
      <c r="C70" s="2" t="inlineStr">
        <is>
          <t>PUBLIC</t>
        </is>
      </c>
      <c r="D70" s="2" t="b">
        <v>0</v>
      </c>
      <c r="E70" s="7" t="n">
        <v>0</v>
      </c>
      <c r="F70" s="7" t="n">
        <v>19</v>
      </c>
      <c r="G70" s="7" t="n">
        <v>0</v>
      </c>
      <c r="H70" s="2" t="inlineStr">
        <is>
          <t>OK</t>
        </is>
      </c>
      <c r="I70" s="8">
        <f>HYPERLINK("https://github.com/" &amp; "arm-examples" &amp; "/" &amp; A70, A70)</f>
        <v/>
      </c>
      <c r="J70" s="2" t="n"/>
    </row>
    <row r="71">
      <c r="A71" t="inlineStr">
        <is>
          <t>Get-Started-with-Edge-AI</t>
        </is>
      </c>
      <c r="B71" s="3" t="n">
        <v>45972.6696875</v>
      </c>
      <c r="C71" t="inlineStr">
        <is>
          <t>PUBLIC</t>
        </is>
      </c>
      <c r="D71" t="b">
        <v>0</v>
      </c>
      <c r="E71" s="4" t="n">
        <v>20</v>
      </c>
      <c r="F71" s="4" t="n">
        <v>24</v>
      </c>
      <c r="G71" s="4" t="n">
        <v>48</v>
      </c>
      <c r="H71" t="inlineStr">
        <is>
          <t>OK</t>
        </is>
      </c>
      <c r="I71" s="5">
        <f>HYPERLINK("https://github.com/" &amp; "arm-examples" &amp; "/" &amp; A71, A71)</f>
        <v/>
      </c>
    </row>
    <row r="72">
      <c r="A72" s="2" t="inlineStr">
        <is>
          <t>Paddle-on-Ethos-U</t>
        </is>
      </c>
      <c r="B72" s="6" t="n">
        <v>45944.29854166666</v>
      </c>
      <c r="C72" s="2" t="inlineStr">
        <is>
          <t>PUBLIC</t>
        </is>
      </c>
      <c r="D72" s="2" t="b">
        <v>0</v>
      </c>
      <c r="E72" s="7" t="n">
        <v>5</v>
      </c>
      <c r="F72" s="7" t="n">
        <v>26</v>
      </c>
      <c r="G72" s="7" t="n">
        <v>33</v>
      </c>
      <c r="H72" s="2" t="inlineStr">
        <is>
          <t>OK</t>
        </is>
      </c>
      <c r="I72" s="8">
        <f>HYPERLINK("https://github.com/" &amp; "arm-examples" &amp; "/" &amp; A72, A72)</f>
        <v/>
      </c>
      <c r="J72" s="2" t="n"/>
    </row>
    <row r="73">
      <c r="A73" t="inlineStr">
        <is>
          <t>Arm-Ethos-Zephyr-Playground</t>
        </is>
      </c>
      <c r="B73" s="3" t="n">
        <v>45940.55825231481</v>
      </c>
      <c r="C73" t="inlineStr">
        <is>
          <t>PUBLIC</t>
        </is>
      </c>
      <c r="D73" t="b">
        <v>0</v>
      </c>
      <c r="E73" s="4" t="n">
        <v>16</v>
      </c>
      <c r="F73" s="4" t="n">
        <v>21</v>
      </c>
      <c r="G73" s="4" t="n">
        <v>45</v>
      </c>
      <c r="H73" t="inlineStr">
        <is>
          <t>OK</t>
        </is>
      </c>
      <c r="I73" s="5">
        <f>HYPERLINK("https://github.com/" &amp; "arm-examples" &amp; "/" &amp; A73, A73)</f>
        <v/>
      </c>
    </row>
    <row r="74">
      <c r="A74" s="2" t="inlineStr">
        <is>
          <t>Blinky_Ensemble_E8</t>
        </is>
      </c>
      <c r="B74" s="6" t="n">
        <v>45931.59533564815</v>
      </c>
      <c r="C74" s="2" t="inlineStr">
        <is>
          <t>PUBLIC</t>
        </is>
      </c>
      <c r="D74" s="2" t="b">
        <v>0</v>
      </c>
      <c r="E74" s="7" t="n">
        <v>0</v>
      </c>
      <c r="F74" s="7" t="n">
        <v>18</v>
      </c>
      <c r="G74" s="7" t="n">
        <v>0</v>
      </c>
      <c r="H74" s="2" t="inlineStr">
        <is>
          <t>OK</t>
        </is>
      </c>
      <c r="I74" s="8">
        <f>HYPERLINK("https://github.com/" &amp; "arm-examples" &amp; "/" &amp; A74, A74)</f>
        <v/>
      </c>
      <c r="J74" s="2" t="n"/>
    </row>
    <row r="75">
      <c r="A75" t="inlineStr">
        <is>
          <t>Helium-Optimization</t>
        </is>
      </c>
      <c r="B75" s="3" t="n">
        <v>45638.85614583334</v>
      </c>
      <c r="C75" t="inlineStr">
        <is>
          <t>PUBLIC</t>
        </is>
      </c>
      <c r="D75" t="b">
        <v>0</v>
      </c>
      <c r="E75" s="4" t="n">
        <v>15</v>
      </c>
      <c r="F75" s="4" t="n">
        <v>20</v>
      </c>
      <c r="G75" s="4" t="n">
        <v>34</v>
      </c>
      <c r="H75" t="inlineStr">
        <is>
          <t>OK</t>
        </is>
      </c>
      <c r="I75" s="5">
        <f>HYPERLINK("https://github.com/" &amp; "arm-examples" &amp; "/" &amp; A75, A75)</f>
        <v/>
      </c>
    </row>
    <row r="76">
      <c r="A76" s="2" t="inlineStr">
        <is>
          <t>VSI_video</t>
        </is>
      </c>
      <c r="B76" s="6" t="n">
        <v>45461.32569444444</v>
      </c>
      <c r="C76" s="2" t="inlineStr">
        <is>
          <t>PUBLIC</t>
        </is>
      </c>
      <c r="D76" s="2" t="b">
        <v>0</v>
      </c>
      <c r="E76" s="7" t="n">
        <v>0</v>
      </c>
      <c r="F76" s="7" t="n">
        <v>18</v>
      </c>
      <c r="G76" s="7" t="n">
        <v>0</v>
      </c>
      <c r="H76" s="2" t="inlineStr">
        <is>
          <t>OK</t>
        </is>
      </c>
      <c r="I76" s="8">
        <f>HYPERLINK("https://github.com/" &amp; "arm-examples" &amp; "/" &amp; A76, A76)</f>
        <v/>
      </c>
      <c r="J76" s="2" t="n"/>
    </row>
    <row r="77">
      <c r="A77" t="inlineStr">
        <is>
          <t>cloud_ci_demo_rv2</t>
        </is>
      </c>
      <c r="B77" s="3" t="n">
        <v>45458.29892361111</v>
      </c>
      <c r="C77" t="inlineStr">
        <is>
          <t>PUBLIC</t>
        </is>
      </c>
      <c r="D77" t="b">
        <v>0</v>
      </c>
      <c r="E77" s="4" t="n">
        <v>0</v>
      </c>
      <c r="F77" s="4" t="n">
        <v>16</v>
      </c>
      <c r="G77" s="4" t="n">
        <v>0</v>
      </c>
      <c r="H77" t="inlineStr">
        <is>
          <t>OK</t>
        </is>
      </c>
      <c r="I77" s="5">
        <f>HYPERLINK("https://github.com/" &amp; "arm-examples" &amp; "/" &amp; A77, A77)</f>
        <v/>
      </c>
    </row>
    <row r="78">
      <c r="A78" s="2" t="inlineStr">
        <is>
          <t>cloud_ci_demo_basic</t>
        </is>
      </c>
      <c r="B78" s="6" t="n">
        <v>45458.29869212963</v>
      </c>
      <c r="C78" s="2" t="inlineStr">
        <is>
          <t>PUBLIC</t>
        </is>
      </c>
      <c r="D78" s="2" t="b">
        <v>0</v>
      </c>
      <c r="E78" s="7" t="n">
        <v>0</v>
      </c>
      <c r="F78" s="7" t="n">
        <v>19</v>
      </c>
      <c r="G78" s="7" t="n">
        <v>0</v>
      </c>
      <c r="H78" s="2" t="inlineStr">
        <is>
          <t>OK</t>
        </is>
      </c>
      <c r="I78" s="8">
        <f>HYPERLINK("https://github.com/" &amp; "arm-examples" &amp; "/" &amp; A78, A78)</f>
        <v/>
      </c>
      <c r="J7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  <col width="13" customWidth="1" min="3" max="3"/>
    <col width="13" customWidth="1" min="4" max="4"/>
    <col width="21" customWidth="1" min="5" max="5"/>
    <col width="21" customWidth="1" min="6" max="6"/>
    <col width="18" customWidth="1" min="7" max="7"/>
    <col width="50" customWidth="1" min="8" max="8"/>
    <col width="60" customWidth="1" min="9" max="9"/>
    <col width="20" customWidth="1" min="10" max="10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</row>
    <row r="2">
      <c r="A2" s="2" t="inlineStr">
        <is>
          <t># Revision History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# Author</t>
        </is>
      </c>
      <c r="B3" t="inlineStr">
        <is>
          <t>OpenAI Codex</t>
        </is>
      </c>
    </row>
    <row r="4">
      <c r="A4" s="2" t="inlineStr">
        <is>
          <t># Date</t>
        </is>
      </c>
      <c r="B4" s="2" t="inlineStr">
        <is>
          <t>2026-06-26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# Change</t>
        </is>
      </c>
      <c r="B5" t="inlineStr">
        <is>
          <t>Initial repository export generated by Get_Repositories.py v1.0.0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# File Description</t>
        </is>
      </c>
    </row>
    <row r="8">
      <c r="A8" s="2" t="inlineStr">
        <is>
          <t># Summary</t>
        </is>
      </c>
      <c r="B8" s="2" t="inlineStr">
        <is>
          <t>Repository data read from a GitHub organization and filtered automatically by visibility, archive status, and activity cutoff.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# Generation Process</t>
        </is>
      </c>
      <c r="B9" t="inlineStr">
        <is>
          <t>Two-stage process: stage 1 automated export by script; stage 2 optional manual filtering if repository-side tags or metadata are missing.</t>
        </is>
      </c>
    </row>
    <row r="10">
      <c r="A10" s="2" t="inlineStr">
        <is>
          <t># Source Script</t>
        </is>
      </c>
      <c r="B10" s="2" t="inlineStr">
        <is>
          <t>Get_Repositories.py v1.0.0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# Suggested Workflows</t>
        </is>
      </c>
      <c r="B11" t="inlineStr">
        <is>
          <t>Excel review, manual repository qualification, and follow-on automation workflows that consume repository lists.</t>
        </is>
      </c>
    </row>
    <row r="12">
      <c r="A12" s="2" t="inlineStr">
        <is>
          <t># Organization</t>
        </is>
      </c>
      <c r="B12" s="2" t="inlineStr">
        <is>
          <t>arm-software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# Activity Cutoff</t>
        </is>
      </c>
      <c r="B13" t="inlineStr">
        <is>
          <t>2024-06-01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t="inlineStr">
        <is>
          <t># Field Descriptions</t>
        </is>
      </c>
    </row>
    <row r="16">
      <c r="A16" s="2" t="inlineStr">
        <is>
          <t># repository</t>
        </is>
      </c>
      <c r="B16" s="2" t="inlineStr">
        <is>
          <t>Repository name in the selected GitHub organization.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# last_push</t>
        </is>
      </c>
      <c r="B17" t="inlineStr">
        <is>
          <t>Timestamp of the latest push reported by GitHub.</t>
        </is>
      </c>
    </row>
    <row r="18">
      <c r="A18" s="2" t="inlineStr">
        <is>
          <t># visibility</t>
        </is>
      </c>
      <c r="B18" s="2" t="inlineStr">
        <is>
          <t>Normalized repository visibility status after API readout.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# archived</t>
        </is>
      </c>
      <c r="B19" t="inlineStr">
        <is>
          <t>Archive flag returned by GitHub for the repository.</t>
        </is>
      </c>
    </row>
    <row r="20">
      <c r="A20" s="2" t="inlineStr">
        <is>
          <t># unique_visitors_14d</t>
        </is>
      </c>
      <c r="B20" s="2" t="inlineStr">
        <is>
          <t>Unique repository visitors in the last 14 days.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# unique_cloners_14d</t>
        </is>
      </c>
      <c r="B21" t="inlineStr">
        <is>
          <t>Unique repository cloners in the last 14 days.</t>
        </is>
      </c>
    </row>
    <row r="22">
      <c r="A22" s="2" t="inlineStr">
        <is>
          <t># total_views_14d</t>
        </is>
      </c>
      <c r="B22" s="2" t="inlineStr">
        <is>
          <t>Total repository page views in the last 14 days.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t="inlineStr">
        <is>
          <t># traffic_status</t>
        </is>
      </c>
      <c r="B23" t="inlineStr">
        <is>
          <t>Traffic readout result, for example OK or an API access message.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t="inlineStr">
        <is>
          <t>repository</t>
        </is>
      </c>
      <c r="B25" t="inlineStr">
        <is>
          <t>last_push</t>
        </is>
      </c>
      <c r="C25" t="inlineStr">
        <is>
          <t>visibility</t>
        </is>
      </c>
      <c r="D25" t="inlineStr">
        <is>
          <t>archived</t>
        </is>
      </c>
      <c r="E25" t="inlineStr">
        <is>
          <t>unique_visitors_14d</t>
        </is>
      </c>
      <c r="F25" t="inlineStr">
        <is>
          <t>unique_cloners_14d</t>
        </is>
      </c>
      <c r="G25" t="inlineStr">
        <is>
          <t>total_views_14d</t>
        </is>
      </c>
      <c r="H25" t="inlineStr">
        <is>
          <t>traffic_status</t>
        </is>
      </c>
      <c r="I25" t="inlineStr">
        <is>
          <t>link_2_repository</t>
        </is>
      </c>
      <c r="J25" t="inlineStr">
        <is>
          <t>ignore_status</t>
        </is>
      </c>
    </row>
    <row r="26">
      <c r="A26" s="2" t="inlineStr">
        <is>
          <t>AVH</t>
        </is>
      </c>
      <c r="B26" s="6" t="n">
        <v>46199.38355324074</v>
      </c>
      <c r="C26" s="2" t="inlineStr">
        <is>
          <t>PUBLIC</t>
        </is>
      </c>
      <c r="D26" s="2" t="b">
        <v>0</v>
      </c>
      <c r="E26" s="7" t="n">
        <v>62</v>
      </c>
      <c r="F26" s="7" t="n">
        <v>108</v>
      </c>
      <c r="G26" s="7" t="n">
        <v>178</v>
      </c>
      <c r="H26" s="2" t="inlineStr">
        <is>
          <t>OK</t>
        </is>
      </c>
      <c r="I26" s="8">
        <f>HYPERLINK("https://github.com/" &amp; "arm-software" &amp; "/" &amp; A26, A26)</f>
        <v/>
      </c>
      <c r="J26" s="2" t="n"/>
    </row>
    <row r="27">
      <c r="A27" t="inlineStr">
        <is>
          <t>lavatube</t>
        </is>
      </c>
      <c r="B27" s="3" t="n">
        <v>46199.37289351852</v>
      </c>
      <c r="C27" t="inlineStr">
        <is>
          <t>PUBLIC</t>
        </is>
      </c>
      <c r="D27" t="b">
        <v>0</v>
      </c>
      <c r="E27" s="4" t="n"/>
      <c r="F27" s="4" t="n"/>
      <c r="G27" s="4" t="n"/>
      <c r="H27" t="inlineStr">
        <is>
          <t>RESTRICTED: Must have push access to repository</t>
        </is>
      </c>
      <c r="I27" s="5">
        <f>HYPERLINK("https://github.com/" &amp; "arm-software" &amp; "/" &amp; A27, A27)</f>
        <v/>
      </c>
    </row>
    <row r="28">
      <c r="A28" s="2" t="inlineStr">
        <is>
          <t>sysarch-acs</t>
        </is>
      </c>
      <c r="B28" s="6" t="n">
        <v>46199.36378472222</v>
      </c>
      <c r="C28" s="2" t="inlineStr">
        <is>
          <t>PUBLIC</t>
        </is>
      </c>
      <c r="D28" s="2" t="b">
        <v>0</v>
      </c>
      <c r="E28" s="7" t="n"/>
      <c r="F28" s="7" t="n"/>
      <c r="G28" s="7" t="n"/>
      <c r="H28" s="2" t="inlineStr">
        <is>
          <t>RESTRICTED: Must have push access to repository</t>
        </is>
      </c>
      <c r="I28" s="8">
        <f>HYPERLINK("https://github.com/" &amp; "arm-software" &amp; "/" &amp; A28, A28)</f>
        <v/>
      </c>
      <c r="J28" s="2" t="n"/>
    </row>
    <row r="29">
      <c r="A29" t="inlineStr">
        <is>
          <t>armnn</t>
        </is>
      </c>
      <c r="B29" s="3" t="n">
        <v>46199.3593287037</v>
      </c>
      <c r="C29" t="inlineStr">
        <is>
          <t>PUBLIC</t>
        </is>
      </c>
      <c r="D29" t="b">
        <v>0</v>
      </c>
      <c r="E29" s="4" t="n"/>
      <c r="F29" s="4" t="n"/>
      <c r="G29" s="4" t="n"/>
      <c r="H29" t="inlineStr">
        <is>
          <t>RESTRICTED: Must have push access to repository</t>
        </is>
      </c>
      <c r="I29" s="5">
        <f>HYPERLINK("https://github.com/" &amp; "arm-software" &amp; "/" &amp; A29, A29)</f>
        <v/>
      </c>
    </row>
    <row r="30">
      <c r="A30" s="2" t="inlineStr">
        <is>
          <t>gfxreconstruct-arm</t>
        </is>
      </c>
      <c r="B30" s="6" t="n">
        <v>46199.30429398148</v>
      </c>
      <c r="C30" s="2" t="inlineStr">
        <is>
          <t>PUBLIC</t>
        </is>
      </c>
      <c r="D30" s="2" t="b">
        <v>0</v>
      </c>
      <c r="E30" s="7" t="n"/>
      <c r="F30" s="7" t="n"/>
      <c r="G30" s="7" t="n"/>
      <c r="H30" s="2" t="inlineStr">
        <is>
          <t>RESTRICTED: Must have push access to repository</t>
        </is>
      </c>
      <c r="I30" s="8">
        <f>HYPERLINK("https://github.com/" &amp; "arm-software" &amp; "/" &amp; A30, A30)</f>
        <v/>
      </c>
      <c r="J30" s="2" t="n"/>
    </row>
    <row r="31">
      <c r="A31" t="inlineStr">
        <is>
          <t>CMSIS-NN</t>
        </is>
      </c>
      <c r="B31" s="3" t="n">
        <v>46198.57709490741</v>
      </c>
      <c r="C31" t="inlineStr">
        <is>
          <t>PUBLIC</t>
        </is>
      </c>
      <c r="D31" t="b">
        <v>0</v>
      </c>
      <c r="E31" s="4" t="n">
        <v>361</v>
      </c>
      <c r="F31" s="4" t="n">
        <v>24354</v>
      </c>
      <c r="G31" s="4" t="n">
        <v>1411</v>
      </c>
      <c r="H31" t="inlineStr">
        <is>
          <t>OK</t>
        </is>
      </c>
      <c r="I31" s="5">
        <f>HYPERLINK("https://github.com/" &amp; "arm-software" &amp; "/" &amp; A31, A31)</f>
        <v/>
      </c>
    </row>
    <row r="32">
      <c r="A32" s="2" t="inlineStr">
        <is>
          <t>spirv-simulator</t>
        </is>
      </c>
      <c r="B32" s="6" t="n">
        <v>46198.55012731482</v>
      </c>
      <c r="C32" s="2" t="inlineStr">
        <is>
          <t>PUBLIC</t>
        </is>
      </c>
      <c r="D32" s="2" t="b">
        <v>0</v>
      </c>
      <c r="E32" s="7" t="n"/>
      <c r="F32" s="7" t="n"/>
      <c r="G32" s="7" t="n"/>
      <c r="H32" s="2" t="inlineStr">
        <is>
          <t>RESTRICTED: Must have push access to repository</t>
        </is>
      </c>
      <c r="I32" s="8">
        <f>HYPERLINK("https://github.com/" &amp; "arm-software" &amp; "/" &amp; A32, A32)</f>
        <v/>
      </c>
      <c r="J32" s="2" t="n"/>
    </row>
    <row r="33">
      <c r="A33" t="inlineStr">
        <is>
          <t>ComputeLibrary</t>
        </is>
      </c>
      <c r="B33" s="3" t="n">
        <v>46198.49164351852</v>
      </c>
      <c r="C33" t="inlineStr">
        <is>
          <t>PUBLIC</t>
        </is>
      </c>
      <c r="D33" t="b">
        <v>0</v>
      </c>
      <c r="E33" s="4" t="n"/>
      <c r="F33" s="4" t="n"/>
      <c r="G33" s="4" t="n"/>
      <c r="H33" t="inlineStr">
        <is>
          <t>RESTRICTED: Must have push access to repository</t>
        </is>
      </c>
      <c r="I33" s="5">
        <f>HYPERLINK("https://github.com/" &amp; "arm-software" &amp; "/" &amp; A33, A33)</f>
        <v/>
      </c>
    </row>
    <row r="34">
      <c r="A34" s="2" t="inlineStr">
        <is>
          <t>lisa</t>
        </is>
      </c>
      <c r="B34" s="6" t="n">
        <v>46198.47351851852</v>
      </c>
      <c r="C34" s="2" t="inlineStr">
        <is>
          <t>PUBLIC</t>
        </is>
      </c>
      <c r="D34" s="2" t="b">
        <v>0</v>
      </c>
      <c r="E34" s="7" t="n"/>
      <c r="F34" s="7" t="n"/>
      <c r="G34" s="7" t="n"/>
      <c r="H34" s="2" t="inlineStr">
        <is>
          <t>RESTRICTED: Must have push access to repository</t>
        </is>
      </c>
      <c r="I34" s="8">
        <f>HYPERLINK("https://github.com/" &amp; "arm-software" &amp; "/" &amp; A34, A34)</f>
        <v/>
      </c>
      <c r="J34" s="2" t="n"/>
    </row>
    <row r="35">
      <c r="A35" t="inlineStr">
        <is>
          <t>arm-systemready</t>
        </is>
      </c>
      <c r="B35" s="3" t="n">
        <v>46198.4540162037</v>
      </c>
      <c r="C35" t="inlineStr">
        <is>
          <t>PUBLIC</t>
        </is>
      </c>
      <c r="D35" t="b">
        <v>0</v>
      </c>
      <c r="E35" s="4" t="n"/>
      <c r="F35" s="4" t="n"/>
      <c r="G35" s="4" t="n"/>
      <c r="H35" t="inlineStr">
        <is>
          <t>RESTRICTED: Must have push access to repository</t>
        </is>
      </c>
      <c r="I35" s="5">
        <f>HYPERLINK("https://github.com/" &amp; "arm-software" &amp; "/" &amp; A35, A35)</f>
        <v/>
      </c>
    </row>
    <row r="36">
      <c r="A36" s="2" t="inlineStr">
        <is>
          <t>VectorSimilarity-for-Arm</t>
        </is>
      </c>
      <c r="B36" s="6" t="n">
        <v>46198.30086805556</v>
      </c>
      <c r="C36" s="2" t="inlineStr">
        <is>
          <t>PUBLIC</t>
        </is>
      </c>
      <c r="D36" s="2" t="b">
        <v>0</v>
      </c>
      <c r="E36" s="7" t="n"/>
      <c r="F36" s="7" t="n"/>
      <c r="G36" s="7" t="n"/>
      <c r="H36" s="2" t="inlineStr">
        <is>
          <t>RESTRICTED: Must have push access to repository</t>
        </is>
      </c>
      <c r="I36" s="8">
        <f>HYPERLINK("https://github.com/" &amp; "arm-software" &amp; "/" &amp; A36, A36)</f>
        <v/>
      </c>
      <c r="J36" s="2" t="n"/>
    </row>
    <row r="37">
      <c r="A37" t="inlineStr">
        <is>
          <t>kleidiai</t>
        </is>
      </c>
      <c r="B37" s="3" t="n">
        <v>46197.63583333333</v>
      </c>
      <c r="C37" t="inlineStr">
        <is>
          <t>PUBLIC</t>
        </is>
      </c>
      <c r="D37" t="b">
        <v>0</v>
      </c>
      <c r="E37" s="4" t="n"/>
      <c r="F37" s="4" t="n"/>
      <c r="G37" s="4" t="n"/>
      <c r="H37" t="inlineStr">
        <is>
          <t>RESTRICTED: Must have push access to repository</t>
        </is>
      </c>
      <c r="I37" s="5">
        <f>HYPERLINK("https://github.com/" &amp; "arm-software" &amp; "/" &amp; A37, A37)</f>
        <v/>
      </c>
    </row>
    <row r="38">
      <c r="A38" s="2" t="inlineStr">
        <is>
          <t>golang-utils</t>
        </is>
      </c>
      <c r="B38" s="6" t="n">
        <v>46197.61736111111</v>
      </c>
      <c r="C38" s="2" t="inlineStr">
        <is>
          <t>PUBLIC</t>
        </is>
      </c>
      <c r="D38" s="2" t="b">
        <v>0</v>
      </c>
      <c r="E38" s="7" t="n"/>
      <c r="F38" s="7" t="n"/>
      <c r="G38" s="7" t="n"/>
      <c r="H38" s="2" t="inlineStr">
        <is>
          <t>RESTRICTED: Must have push access to repository</t>
        </is>
      </c>
      <c r="I38" s="8">
        <f>HYPERLINK("https://github.com/" &amp; "arm-software" &amp; "/" &amp; A38, A38)</f>
        <v/>
      </c>
      <c r="J38" s="2" t="n"/>
    </row>
    <row r="39">
      <c r="A39" t="inlineStr">
        <is>
          <t>sbmr-acs</t>
        </is>
      </c>
      <c r="B39" s="3" t="n">
        <v>46197.60601851852</v>
      </c>
      <c r="C39" t="inlineStr">
        <is>
          <t>PUBLIC</t>
        </is>
      </c>
      <c r="D39" t="b">
        <v>0</v>
      </c>
      <c r="E39" s="4" t="n"/>
      <c r="F39" s="4" t="n"/>
      <c r="G39" s="4" t="n"/>
      <c r="H39" t="inlineStr">
        <is>
          <t>RESTRICTED: Must have push access to repository</t>
        </is>
      </c>
      <c r="I39" s="5">
        <f>HYPERLINK("https://github.com/" &amp; "arm-software" &amp; "/" &amp; A39, A39)</f>
        <v/>
      </c>
    </row>
    <row r="40">
      <c r="A40" s="2" t="inlineStr">
        <is>
          <t>psa-api</t>
        </is>
      </c>
      <c r="B40" s="6" t="n">
        <v>46197.58836805556</v>
      </c>
      <c r="C40" s="2" t="inlineStr">
        <is>
          <t>PUBLIC</t>
        </is>
      </c>
      <c r="D40" s="2" t="b">
        <v>0</v>
      </c>
      <c r="E40" s="7" t="n"/>
      <c r="F40" s="7" t="n"/>
      <c r="G40" s="7" t="n"/>
      <c r="H40" s="2" t="inlineStr">
        <is>
          <t>RESTRICTED: Must have push access to repository</t>
        </is>
      </c>
      <c r="I40" s="8">
        <f>HYPERLINK("https://github.com/" &amp; "arm-software" &amp; "/" &amp; A40, A40)</f>
        <v/>
      </c>
      <c r="J40" s="2" t="n"/>
    </row>
    <row r="41">
      <c r="A41" t="inlineStr">
        <is>
          <t>tracetooltests</t>
        </is>
      </c>
      <c r="B41" s="3" t="n">
        <v>46197.548125</v>
      </c>
      <c r="C41" t="inlineStr">
        <is>
          <t>PUBLIC</t>
        </is>
      </c>
      <c r="D41" t="b">
        <v>0</v>
      </c>
      <c r="E41" s="4" t="n"/>
      <c r="F41" s="4" t="n"/>
      <c r="G41" s="4" t="n"/>
      <c r="H41" t="inlineStr">
        <is>
          <t>RESTRICTED: Must have push access to repository</t>
        </is>
      </c>
      <c r="I41" s="5">
        <f>HYPERLINK("https://github.com/" &amp; "arm-software" &amp; "/" &amp; A41, A41)</f>
        <v/>
      </c>
    </row>
    <row r="42">
      <c r="A42" s="2" t="inlineStr">
        <is>
          <t>bob-build</t>
        </is>
      </c>
      <c r="B42" s="6" t="n">
        <v>46197.52181712963</v>
      </c>
      <c r="C42" s="2" t="inlineStr">
        <is>
          <t>PUBLIC</t>
        </is>
      </c>
      <c r="D42" s="2" t="b">
        <v>0</v>
      </c>
      <c r="E42" s="7" t="n"/>
      <c r="F42" s="7" t="n"/>
      <c r="G42" s="7" t="n"/>
      <c r="H42" s="2" t="inlineStr">
        <is>
          <t>RESTRICTED: Must have push access to repository</t>
        </is>
      </c>
      <c r="I42" s="8">
        <f>HYPERLINK("https://github.com/" &amp; "arm-software" &amp; "/" &amp; A42, A42)</f>
        <v/>
      </c>
      <c r="J42" s="2" t="n"/>
    </row>
    <row r="43">
      <c r="A43" t="inlineStr">
        <is>
          <t>libcollector</t>
        </is>
      </c>
      <c r="B43" s="3" t="n">
        <v>46197.49600694444</v>
      </c>
      <c r="C43" t="inlineStr">
        <is>
          <t>PUBLIC</t>
        </is>
      </c>
      <c r="D43" t="b">
        <v>0</v>
      </c>
      <c r="E43" s="4" t="n"/>
      <c r="F43" s="4" t="n"/>
      <c r="G43" s="4" t="n"/>
      <c r="H43" t="inlineStr">
        <is>
          <t>RESTRICTED: Must have push access to repository</t>
        </is>
      </c>
      <c r="I43" s="5">
        <f>HYPERLINK("https://github.com/" &amp; "arm-software" &amp; "/" &amp; A43, A43)</f>
        <v/>
      </c>
    </row>
    <row r="44">
      <c r="A44" s="2" t="inlineStr">
        <is>
          <t>rme-sysarch-acs</t>
        </is>
      </c>
      <c r="B44" s="6" t="n">
        <v>46197.31222222222</v>
      </c>
      <c r="C44" s="2" t="inlineStr">
        <is>
          <t>PUBLIC</t>
        </is>
      </c>
      <c r="D44" s="2" t="b">
        <v>0</v>
      </c>
      <c r="E44" s="7" t="n"/>
      <c r="F44" s="7" t="n"/>
      <c r="G44" s="7" t="n"/>
      <c r="H44" s="2" t="inlineStr">
        <is>
          <t>RESTRICTED: Must have push access to repository</t>
        </is>
      </c>
      <c r="I44" s="8">
        <f>HYPERLINK("https://github.com/" &amp; "arm-software" &amp; "/" &amp; A44, A44)</f>
        <v/>
      </c>
      <c r="J44" s="2" t="n"/>
    </row>
    <row r="45">
      <c r="A45" t="inlineStr">
        <is>
          <t>MDK-Middleware</t>
        </is>
      </c>
      <c r="B45" s="3" t="n">
        <v>46197.19724537037</v>
      </c>
      <c r="C45" t="inlineStr">
        <is>
          <t>PUBLIC</t>
        </is>
      </c>
      <c r="D45" t="b">
        <v>0</v>
      </c>
      <c r="E45" s="4" t="n"/>
      <c r="F45" s="4" t="n"/>
      <c r="G45" s="4" t="n"/>
      <c r="H45" t="inlineStr">
        <is>
          <t>RESTRICTED: Must have push access to repository</t>
        </is>
      </c>
      <c r="I45" s="5">
        <f>HYPERLINK("https://github.com/" &amp; "arm-software" &amp; "/" &amp; A45, A45)</f>
        <v/>
      </c>
    </row>
    <row r="46">
      <c r="A46" s="2" t="inlineStr">
        <is>
          <t>acle</t>
        </is>
      </c>
      <c r="B46" s="6" t="n">
        <v>46196.54575231481</v>
      </c>
      <c r="C46" s="2" t="inlineStr">
        <is>
          <t>PUBLIC</t>
        </is>
      </c>
      <c r="D46" s="2" t="b">
        <v>0</v>
      </c>
      <c r="E46" s="7" t="n"/>
      <c r="F46" s="7" t="n"/>
      <c r="G46" s="7" t="n"/>
      <c r="H46" s="2" t="inlineStr">
        <is>
          <t>RESTRICTED: Must have push access to repository</t>
        </is>
      </c>
      <c r="I46" s="8">
        <f>HYPERLINK("https://github.com/" &amp; "arm-software" &amp; "/" &amp; A46, A46)</f>
        <v/>
      </c>
      <c r="J46" s="2" t="n"/>
    </row>
    <row r="47">
      <c r="A47" t="inlineStr">
        <is>
          <t>CMSIS-DAP</t>
        </is>
      </c>
      <c r="B47" s="3" t="n">
        <v>46196.54042824074</v>
      </c>
      <c r="C47" t="inlineStr">
        <is>
          <t>PUBLIC</t>
        </is>
      </c>
      <c r="D47" t="b">
        <v>0</v>
      </c>
      <c r="E47" s="4" t="n">
        <v>201</v>
      </c>
      <c r="F47" s="4" t="n">
        <v>79</v>
      </c>
      <c r="G47" s="4" t="n">
        <v>794</v>
      </c>
      <c r="H47" t="inlineStr">
        <is>
          <t>OK</t>
        </is>
      </c>
      <c r="I47" s="5">
        <f>HYPERLINK("https://github.com/" &amp; "arm-software" &amp; "/" &amp; A47, A47)</f>
        <v/>
      </c>
    </row>
    <row r="48">
      <c r="A48" s="2" t="inlineStr">
        <is>
          <t>arm-trusted-firmware</t>
        </is>
      </c>
      <c r="B48" s="6" t="n">
        <v>46196.19494212963</v>
      </c>
      <c r="C48" s="2" t="inlineStr">
        <is>
          <t>PUBLIC</t>
        </is>
      </c>
      <c r="D48" s="2" t="b">
        <v>0</v>
      </c>
      <c r="E48" s="7" t="n"/>
      <c r="F48" s="7" t="n"/>
      <c r="G48" s="7" t="n"/>
      <c r="H48" s="2" t="inlineStr">
        <is>
          <t>RESTRICTED: Must have push access to repository</t>
        </is>
      </c>
      <c r="I48" s="8">
        <f>HYPERLINK("https://github.com/" &amp; "arm-software" &amp; "/" &amp; A48, A48)</f>
        <v/>
      </c>
      <c r="J48" s="2" t="n"/>
    </row>
    <row r="49">
      <c r="A49" t="inlineStr">
        <is>
          <t>CMSIS_6</t>
        </is>
      </c>
      <c r="B49" s="3" t="n">
        <v>46195.96708333334</v>
      </c>
      <c r="C49" t="inlineStr">
        <is>
          <t>PUBLIC</t>
        </is>
      </c>
      <c r="D49" t="b">
        <v>0</v>
      </c>
      <c r="E49" s="4" t="n">
        <v>955</v>
      </c>
      <c r="F49" s="4" t="n">
        <v>18745</v>
      </c>
      <c r="G49" s="4" t="n">
        <v>3562</v>
      </c>
      <c r="H49" t="inlineStr">
        <is>
          <t>OK</t>
        </is>
      </c>
      <c r="I49" s="5">
        <f>HYPERLINK("https://github.com/" &amp; "arm-software" &amp; "/" &amp; A49, A49)</f>
        <v/>
      </c>
    </row>
    <row r="50">
      <c r="A50" s="2" t="inlineStr">
        <is>
          <t>Arm-2D</t>
        </is>
      </c>
      <c r="B50" s="6" t="n">
        <v>46195.91967592593</v>
      </c>
      <c r="C50" s="2" t="inlineStr">
        <is>
          <t>PUBLIC</t>
        </is>
      </c>
      <c r="D50" s="2" t="b">
        <v>0</v>
      </c>
      <c r="E50" s="7" t="n">
        <v>159</v>
      </c>
      <c r="F50" s="7" t="n">
        <v>78</v>
      </c>
      <c r="G50" s="7" t="n">
        <v>333</v>
      </c>
      <c r="H50" s="2" t="inlineStr">
        <is>
          <t>OK</t>
        </is>
      </c>
      <c r="I50" s="8">
        <f>HYPERLINK("https://github.com/" &amp; "arm-software" &amp; "/" &amp; A50, A50)</f>
        <v/>
      </c>
      <c r="J50" s="2" t="n"/>
    </row>
    <row r="51">
      <c r="A51" t="inlineStr">
        <is>
          <t>CMSIS-FreeRTOS</t>
        </is>
      </c>
      <c r="B51" s="3" t="n">
        <v>46195.81509259259</v>
      </c>
      <c r="C51" t="inlineStr">
        <is>
          <t>PUBLIC</t>
        </is>
      </c>
      <c r="D51" t="b">
        <v>0</v>
      </c>
      <c r="E51" s="4" t="n">
        <v>251</v>
      </c>
      <c r="F51" s="4" t="n">
        <v>449</v>
      </c>
      <c r="G51" s="4" t="n">
        <v>1251</v>
      </c>
      <c r="H51" t="inlineStr">
        <is>
          <t>OK</t>
        </is>
      </c>
      <c r="I51" s="5">
        <f>HYPERLINK("https://github.com/" &amp; "arm-software" &amp; "/" &amp; A51, A51)</f>
        <v/>
      </c>
    </row>
    <row r="52">
      <c r="A52" s="2" t="inlineStr">
        <is>
          <t>astc-encoder</t>
        </is>
      </c>
      <c r="B52" s="6" t="n">
        <v>46195.66894675926</v>
      </c>
      <c r="C52" s="2" t="inlineStr">
        <is>
          <t>PUBLIC</t>
        </is>
      </c>
      <c r="D52" s="2" t="b">
        <v>0</v>
      </c>
      <c r="E52" s="7" t="n"/>
      <c r="F52" s="7" t="n"/>
      <c r="G52" s="7" t="n"/>
      <c r="H52" s="2" t="inlineStr">
        <is>
          <t>RESTRICTED: Must have push access to repository</t>
        </is>
      </c>
      <c r="I52" s="8">
        <f>HYPERLINK("https://github.com/" &amp; "arm-software" &amp; "/" &amp; A52, A52)</f>
        <v/>
      </c>
      <c r="J52" s="2" t="n"/>
    </row>
    <row r="53">
      <c r="A53" t="inlineStr">
        <is>
          <t>CMSIS-RTOS2_Validation</t>
        </is>
      </c>
      <c r="B53" s="3" t="n">
        <v>46195.62724537037</v>
      </c>
      <c r="C53" t="inlineStr">
        <is>
          <t>PUBLIC</t>
        </is>
      </c>
      <c r="D53" t="b">
        <v>0</v>
      </c>
      <c r="E53" s="4" t="n">
        <v>22</v>
      </c>
      <c r="F53" s="4" t="n">
        <v>71</v>
      </c>
      <c r="G53" s="4" t="n">
        <v>75</v>
      </c>
      <c r="H53" t="inlineStr">
        <is>
          <t>OK</t>
        </is>
      </c>
      <c r="I53" s="5">
        <f>HYPERLINK("https://github.com/" &amp; "arm-software" &amp; "/" &amp; A53, A53)</f>
        <v/>
      </c>
    </row>
    <row r="54">
      <c r="A54" s="2" t="inlineStr">
        <is>
          <t>Tool-Solutions</t>
        </is>
      </c>
      <c r="B54" s="6" t="n">
        <v>46195.58582175926</v>
      </c>
      <c r="C54" s="2" t="inlineStr">
        <is>
          <t>PUBLIC</t>
        </is>
      </c>
      <c r="D54" s="2" t="b">
        <v>0</v>
      </c>
      <c r="E54" s="7" t="n"/>
      <c r="F54" s="7" t="n"/>
      <c r="G54" s="7" t="n"/>
      <c r="H54" s="2" t="inlineStr">
        <is>
          <t>RESTRICTED: Must have push access to repository</t>
        </is>
      </c>
      <c r="I54" s="8">
        <f>HYPERLINK("https://github.com/" &amp; "arm-software" &amp; "/" &amp; A54, A54)</f>
        <v/>
      </c>
      <c r="J54" s="2" t="n"/>
    </row>
    <row r="55">
      <c r="A55" t="inlineStr">
        <is>
          <t>SDS-Framework</t>
        </is>
      </c>
      <c r="B55" s="3" t="n">
        <v>46195.54570601852</v>
      </c>
      <c r="C55" t="inlineStr">
        <is>
          <t>PUBLIC</t>
        </is>
      </c>
      <c r="D55" t="b">
        <v>0</v>
      </c>
      <c r="E55" s="4" t="n">
        <v>50</v>
      </c>
      <c r="F55" s="4" t="n">
        <v>155</v>
      </c>
      <c r="G55" s="4" t="n">
        <v>272</v>
      </c>
      <c r="H55" t="inlineStr">
        <is>
          <t>OK</t>
        </is>
      </c>
      <c r="I55" s="5">
        <f>HYPERLINK("https://github.com/" &amp; "arm-software" &amp; "/" &amp; A55, A55)</f>
        <v/>
      </c>
    </row>
    <row r="56">
      <c r="A56" s="2" t="inlineStr">
        <is>
          <t>cmsis-actions</t>
        </is>
      </c>
      <c r="B56" s="6" t="n">
        <v>46195.51590277778</v>
      </c>
      <c r="C56" s="2" t="inlineStr">
        <is>
          <t>PUBLIC</t>
        </is>
      </c>
      <c r="D56" s="2" t="b">
        <v>0</v>
      </c>
      <c r="E56" s="7" t="n"/>
      <c r="F56" s="7" t="n"/>
      <c r="G56" s="7" t="n"/>
      <c r="H56" s="2" t="inlineStr">
        <is>
          <t>RESTRICTED: Must have push access to repository</t>
        </is>
      </c>
      <c r="I56" s="8">
        <f>HYPERLINK("https://github.com/" &amp; "arm-software" &amp; "/" &amp; A56, A56)</f>
        <v/>
      </c>
      <c r="J56" s="2" t="n"/>
    </row>
    <row r="57">
      <c r="A57" t="inlineStr">
        <is>
          <t>CMSIS-Driver</t>
        </is>
      </c>
      <c r="B57" s="3" t="n">
        <v>46195.49572916667</v>
      </c>
      <c r="C57" t="inlineStr">
        <is>
          <t>PUBLIC</t>
        </is>
      </c>
      <c r="D57" t="b">
        <v>0</v>
      </c>
      <c r="E57" s="4" t="n">
        <v>80</v>
      </c>
      <c r="F57" s="4" t="n">
        <v>166</v>
      </c>
      <c r="G57" s="4" t="n">
        <v>289</v>
      </c>
      <c r="H57" t="inlineStr">
        <is>
          <t>OK</t>
        </is>
      </c>
      <c r="I57" s="5">
        <f>HYPERLINK("https://github.com/" &amp; "arm-software" &amp; "/" &amp; A57, A57)</f>
        <v/>
      </c>
    </row>
    <row r="58">
      <c r="A58" s="2" t="inlineStr">
        <is>
          <t>CMSIS-Driver_Validation</t>
        </is>
      </c>
      <c r="B58" s="6" t="n">
        <v>46195.39413194444</v>
      </c>
      <c r="C58" s="2" t="inlineStr">
        <is>
          <t>PUBLIC</t>
        </is>
      </c>
      <c r="D58" s="2" t="b">
        <v>0</v>
      </c>
      <c r="E58" s="7" t="n">
        <v>25</v>
      </c>
      <c r="F58" s="7" t="n">
        <v>45</v>
      </c>
      <c r="G58" s="7" t="n">
        <v>122</v>
      </c>
      <c r="H58" s="2" t="inlineStr">
        <is>
          <t>OK</t>
        </is>
      </c>
      <c r="I58" s="8">
        <f>HYPERLINK("https://github.com/" &amp; "arm-software" &amp; "/" &amp; A58, A58)</f>
        <v/>
      </c>
      <c r="J58" s="2" t="n"/>
    </row>
    <row r="59">
      <c r="A59" t="inlineStr">
        <is>
          <t>CMSIS-Compiler</t>
        </is>
      </c>
      <c r="B59" s="3" t="n">
        <v>46195.29435185185</v>
      </c>
      <c r="C59" t="inlineStr">
        <is>
          <t>PUBLIC</t>
        </is>
      </c>
      <c r="D59" t="b">
        <v>0</v>
      </c>
      <c r="E59" s="4" t="n">
        <v>161</v>
      </c>
      <c r="F59" s="4" t="n">
        <v>66</v>
      </c>
      <c r="G59" s="4" t="n">
        <v>323</v>
      </c>
      <c r="H59" t="inlineStr">
        <is>
          <t>OK</t>
        </is>
      </c>
      <c r="I59" s="5">
        <f>HYPERLINK("https://github.com/" &amp; "arm-software" &amp; "/" &amp; A59, A59)</f>
        <v/>
      </c>
    </row>
    <row r="60">
      <c r="A60" s="2" t="inlineStr">
        <is>
          <t>Cortex_DFP</t>
        </is>
      </c>
      <c r="B60" s="6" t="n">
        <v>46195.2797337963</v>
      </c>
      <c r="C60" s="2" t="inlineStr">
        <is>
          <t>PUBLIC</t>
        </is>
      </c>
      <c r="D60" s="2" t="b">
        <v>0</v>
      </c>
      <c r="E60" s="7" t="n"/>
      <c r="F60" s="7" t="n"/>
      <c r="G60" s="7" t="n"/>
      <c r="H60" s="2" t="inlineStr">
        <is>
          <t>RESTRICTED: Must have push access to repository</t>
        </is>
      </c>
      <c r="I60" s="8">
        <f>HYPERLINK("https://github.com/" &amp; "arm-software" &amp; "/" &amp; A60, A60)</f>
        <v/>
      </c>
      <c r="J60" s="2" t="n"/>
    </row>
    <row r="61">
      <c r="A61" t="inlineStr">
        <is>
          <t>CMSIS-DSP</t>
        </is>
      </c>
      <c r="B61" s="3" t="n">
        <v>46195.23775462963</v>
      </c>
      <c r="C61" t="inlineStr">
        <is>
          <t>PUBLIC</t>
        </is>
      </c>
      <c r="D61" t="b">
        <v>0</v>
      </c>
      <c r="E61" s="4" t="n">
        <v>1129</v>
      </c>
      <c r="F61" s="4" t="n">
        <v>2200</v>
      </c>
      <c r="G61" s="4" t="n">
        <v>4480</v>
      </c>
      <c r="H61" t="inlineStr">
        <is>
          <t>OK</t>
        </is>
      </c>
      <c r="I61" s="5">
        <f>HYPERLINK("https://github.com/" &amp; "arm-software" &amp; "/" &amp; A61, A61)</f>
        <v/>
      </c>
    </row>
    <row r="62">
      <c r="A62" s="2" t="inlineStr">
        <is>
          <t>CMSIS-RTX</t>
        </is>
      </c>
      <c r="B62" s="6" t="n">
        <v>46195.20326388889</v>
      </c>
      <c r="C62" s="2" t="inlineStr">
        <is>
          <t>PUBLIC</t>
        </is>
      </c>
      <c r="D62" s="2" t="b">
        <v>0</v>
      </c>
      <c r="E62" s="7" t="n">
        <v>122</v>
      </c>
      <c r="F62" s="7" t="n">
        <v>533</v>
      </c>
      <c r="G62" s="7" t="n">
        <v>413</v>
      </c>
      <c r="H62" s="2" t="inlineStr">
        <is>
          <t>OK</t>
        </is>
      </c>
      <c r="I62" s="8">
        <f>HYPERLINK("https://github.com/" &amp; "arm-software" &amp; "/" &amp; A62, A62)</f>
        <v/>
      </c>
      <c r="J62" s="2" t="n"/>
    </row>
    <row r="63">
      <c r="A63" t="inlineStr">
        <is>
          <t>embedded-development-services-client-utils</t>
        </is>
      </c>
      <c r="B63" s="3" t="n">
        <v>46192.73108796297</v>
      </c>
      <c r="C63" t="inlineStr">
        <is>
          <t>PUBLIC</t>
        </is>
      </c>
      <c r="D63" t="b">
        <v>0</v>
      </c>
      <c r="E63" s="4" t="n"/>
      <c r="F63" s="4" t="n"/>
      <c r="G63" s="4" t="n"/>
      <c r="H63" t="inlineStr">
        <is>
          <t>RESTRICTED: Must have push access to repository</t>
        </is>
      </c>
      <c r="I63" s="5">
        <f>HYPERLINK("https://github.com/" &amp; "arm-software" &amp; "/" &amp; A63, A63)</f>
        <v/>
      </c>
    </row>
    <row r="64">
      <c r="A64" s="2" t="inlineStr">
        <is>
          <t>optimized-routines</t>
        </is>
      </c>
      <c r="B64" s="6" t="n">
        <v>46191.34273148148</v>
      </c>
      <c r="C64" s="2" t="inlineStr">
        <is>
          <t>PUBLIC</t>
        </is>
      </c>
      <c r="D64" s="2" t="b">
        <v>0</v>
      </c>
      <c r="E64" s="7" t="n"/>
      <c r="F64" s="7" t="n"/>
      <c r="G64" s="7" t="n"/>
      <c r="H64" s="2" t="inlineStr">
        <is>
          <t>RESTRICTED: Must have push access to repository</t>
        </is>
      </c>
      <c r="I64" s="8">
        <f>HYPERLINK("https://github.com/" &amp; "arm-software" &amp; "/" &amp; A64, A64)</f>
        <v/>
      </c>
      <c r="J64" s="2" t="n"/>
    </row>
    <row r="65">
      <c r="A65" t="inlineStr">
        <is>
          <t>bbr-acs</t>
        </is>
      </c>
      <c r="B65" s="3" t="n">
        <v>46184.44271990741</v>
      </c>
      <c r="C65" t="inlineStr">
        <is>
          <t>PUBLIC</t>
        </is>
      </c>
      <c r="D65" t="b">
        <v>0</v>
      </c>
      <c r="E65" s="4" t="n"/>
      <c r="F65" s="4" t="n"/>
      <c r="G65" s="4" t="n"/>
      <c r="H65" t="inlineStr">
        <is>
          <t>RESTRICTED: Must have push access to repository</t>
        </is>
      </c>
      <c r="I65" s="5">
        <f>HYPERLINK("https://github.com/" &amp; "arm-software" &amp; "/" &amp; A65, A65)</f>
        <v/>
      </c>
    </row>
    <row r="66">
      <c r="A66" s="2" t="inlineStr">
        <is>
          <t>zipcontainer</t>
        </is>
      </c>
      <c r="B66" s="6" t="n">
        <v>46183.53834490741</v>
      </c>
      <c r="C66" s="2" t="inlineStr">
        <is>
          <t>PUBLIC</t>
        </is>
      </c>
      <c r="D66" s="2" t="b">
        <v>0</v>
      </c>
      <c r="E66" s="7" t="n"/>
      <c r="F66" s="7" t="n"/>
      <c r="G66" s="7" t="n"/>
      <c r="H66" s="2" t="inlineStr">
        <is>
          <t>RESTRICTED: Must have push access to repository</t>
        </is>
      </c>
      <c r="I66" s="8">
        <f>HYPERLINK("https://github.com/" &amp; "arm-software" &amp; "/" &amp; A66, A66)</f>
        <v/>
      </c>
      <c r="J66" s="2" t="n"/>
    </row>
    <row r="67">
      <c r="A67" t="inlineStr">
        <is>
          <t>labgrid</t>
        </is>
      </c>
      <c r="B67" s="3" t="n">
        <v>46183.39767361111</v>
      </c>
      <c r="C67" t="inlineStr">
        <is>
          <t>PUBLIC</t>
        </is>
      </c>
      <c r="D67" t="b">
        <v>0</v>
      </c>
      <c r="E67" s="4" t="n"/>
      <c r="F67" s="4" t="n"/>
      <c r="G67" s="4" t="n"/>
      <c r="H67" t="inlineStr">
        <is>
          <t>RESTRICTED: Must have push access to repository</t>
        </is>
      </c>
      <c r="I67" s="5">
        <f>HYPERLINK("https://github.com/" &amp; "arm-software" &amp; "/" &amp; A67, A67)</f>
        <v/>
      </c>
    </row>
    <row r="68">
      <c r="A68" s="2" t="inlineStr">
        <is>
          <t>embedded-development-services-client</t>
        </is>
      </c>
      <c r="B68" s="6" t="n">
        <v>46182.06976851852</v>
      </c>
      <c r="C68" s="2" t="inlineStr">
        <is>
          <t>PUBLIC</t>
        </is>
      </c>
      <c r="D68" s="2" t="b">
        <v>0</v>
      </c>
      <c r="E68" s="7" t="n"/>
      <c r="F68" s="7" t="n"/>
      <c r="G68" s="7" t="n"/>
      <c r="H68" s="2" t="inlineStr">
        <is>
          <t>RESTRICTED: Must have push access to repository</t>
        </is>
      </c>
      <c r="I68" s="8">
        <f>HYPERLINK("https://github.com/" &amp; "arm-software" &amp; "/" &amp; A68, A68)</f>
        <v/>
      </c>
      <c r="J68" s="2" t="n"/>
    </row>
    <row r="69">
      <c r="A69" t="inlineStr">
        <is>
          <t>adac-rs</t>
        </is>
      </c>
      <c r="B69" s="3" t="n">
        <v>46178.79765046296</v>
      </c>
      <c r="C69" t="inlineStr">
        <is>
          <t>PUBLIC</t>
        </is>
      </c>
      <c r="D69" t="b">
        <v>0</v>
      </c>
      <c r="E69" s="4" t="n"/>
      <c r="F69" s="4" t="n"/>
      <c r="G69" s="4" t="n"/>
      <c r="H69" t="inlineStr">
        <is>
          <t>RESTRICTED: Must have push access to repository</t>
        </is>
      </c>
      <c r="I69" s="5">
        <f>HYPERLINK("https://github.com/" &amp; "arm-software" &amp; "/" &amp; A69, A69)</f>
        <v/>
      </c>
    </row>
    <row r="70">
      <c r="A70" s="2" t="inlineStr">
        <is>
          <t>tarmac-trace-utilities</t>
        </is>
      </c>
      <c r="B70" s="6" t="n">
        <v>46178.62877314815</v>
      </c>
      <c r="C70" s="2" t="inlineStr">
        <is>
          <t>PUBLIC</t>
        </is>
      </c>
      <c r="D70" s="2" t="b">
        <v>0</v>
      </c>
      <c r="E70" s="7" t="n"/>
      <c r="F70" s="7" t="n"/>
      <c r="G70" s="7" t="n"/>
      <c r="H70" s="2" t="inlineStr">
        <is>
          <t>RESTRICTED: Must have push access to repository</t>
        </is>
      </c>
      <c r="I70" s="8">
        <f>HYPERLINK("https://github.com/" &amp; "arm-software" &amp; "/" &amp; A70, A70)</f>
        <v/>
      </c>
      <c r="J70" s="2" t="n"/>
    </row>
    <row r="71">
      <c r="A71" t="inlineStr">
        <is>
          <t>CMSIS-Stream</t>
        </is>
      </c>
      <c r="B71" s="3" t="n">
        <v>46177.27826388889</v>
      </c>
      <c r="C71" t="inlineStr">
        <is>
          <t>PUBLIC</t>
        </is>
      </c>
      <c r="D71" t="b">
        <v>0</v>
      </c>
      <c r="E71" s="4" t="n"/>
      <c r="F71" s="4" t="n"/>
      <c r="G71" s="4" t="n"/>
      <c r="H71" t="inlineStr">
        <is>
          <t>RESTRICTED: Must have push access to repository</t>
        </is>
      </c>
      <c r="I71" s="5">
        <f>HYPERLINK("https://github.com/" &amp; "arm-software" &amp; "/" &amp; A71, A71)</f>
        <v/>
      </c>
    </row>
    <row r="72">
      <c r="A72" s="2" t="inlineStr">
        <is>
          <t>EndpointAI</t>
        </is>
      </c>
      <c r="B72" s="6" t="n">
        <v>46168.31947916667</v>
      </c>
      <c r="C72" s="2" t="inlineStr">
        <is>
          <t>PUBLIC</t>
        </is>
      </c>
      <c r="D72" s="2" t="b">
        <v>0</v>
      </c>
      <c r="E72" s="7" t="n"/>
      <c r="F72" s="7" t="n"/>
      <c r="G72" s="7" t="n"/>
      <c r="H72" s="2" t="inlineStr">
        <is>
          <t>RESTRICTED: Must have push access to repository</t>
        </is>
      </c>
      <c r="I72" s="8">
        <f>HYPERLINK("https://github.com/" &amp; "arm-software" &amp; "/" &amp; A72, A72)</f>
        <v/>
      </c>
      <c r="J72" s="2" t="n"/>
    </row>
    <row r="73">
      <c r="A73" t="inlineStr">
        <is>
          <t>traceui</t>
        </is>
      </c>
      <c r="B73" s="3" t="n">
        <v>46163.95876157407</v>
      </c>
      <c r="C73" t="inlineStr">
        <is>
          <t>PUBLIC</t>
        </is>
      </c>
      <c r="D73" t="b">
        <v>0</v>
      </c>
      <c r="E73" s="4" t="n"/>
      <c r="F73" s="4" t="n"/>
      <c r="G73" s="4" t="n"/>
      <c r="H73" t="inlineStr">
        <is>
          <t>RESTRICTED: Must have push access to repository</t>
        </is>
      </c>
      <c r="I73" s="5">
        <f>HYPERLINK("https://github.com/" &amp; "arm-software" &amp; "/" &amp; A73, A73)</f>
        <v/>
      </c>
    </row>
    <row r="74">
      <c r="A74" s="2" t="inlineStr">
        <is>
          <t>ebbr</t>
        </is>
      </c>
      <c r="B74" s="6" t="n">
        <v>46162.5906712963</v>
      </c>
      <c r="C74" s="2" t="inlineStr">
        <is>
          <t>PUBLIC</t>
        </is>
      </c>
      <c r="D74" s="2" t="b">
        <v>0</v>
      </c>
      <c r="E74" s="7" t="n"/>
      <c r="F74" s="7" t="n"/>
      <c r="G74" s="7" t="n"/>
      <c r="H74" s="2" t="inlineStr">
        <is>
          <t>RESTRICTED: Must have push access to repository</t>
        </is>
      </c>
      <c r="I74" s="8">
        <f>HYPERLINK("https://github.com/" &amp; "arm-software" &amp; "/" &amp; A74, A74)</f>
        <v/>
      </c>
      <c r="J74" s="2" t="n"/>
    </row>
    <row r="75">
      <c r="A75" t="inlineStr">
        <is>
          <t>CSAL</t>
        </is>
      </c>
      <c r="B75" s="3" t="n">
        <v>46156.35618055556</v>
      </c>
      <c r="C75" t="inlineStr">
        <is>
          <t>PUBLIC</t>
        </is>
      </c>
      <c r="D75" t="b">
        <v>0</v>
      </c>
      <c r="E75" s="4" t="n"/>
      <c r="F75" s="4" t="n"/>
      <c r="G75" s="4" t="n"/>
      <c r="H75" t="inlineStr">
        <is>
          <t>RESTRICTED: Must have push access to repository</t>
        </is>
      </c>
      <c r="I75" s="5">
        <f>HYPERLINK("https://github.com/" &amp; "arm-software" &amp; "/" &amp; A75, A75)</f>
        <v/>
      </c>
    </row>
    <row r="76">
      <c r="A76" s="2" t="inlineStr">
        <is>
          <t>progress64</t>
        </is>
      </c>
      <c r="B76" s="6" t="n">
        <v>46155.34599537037</v>
      </c>
      <c r="C76" s="2" t="inlineStr">
        <is>
          <t>PUBLIC</t>
        </is>
      </c>
      <c r="D76" s="2" t="b">
        <v>0</v>
      </c>
      <c r="E76" s="7" t="n"/>
      <c r="F76" s="7" t="n"/>
      <c r="G76" s="7" t="n"/>
      <c r="H76" s="2" t="inlineStr">
        <is>
          <t>RESTRICTED: Must have push access to repository</t>
        </is>
      </c>
      <c r="I76" s="8">
        <f>HYPERLINK("https://github.com/" &amp; "arm-software" &amp; "/" &amp; A76, A76)</f>
        <v/>
      </c>
      <c r="J76" s="2" t="n"/>
    </row>
    <row r="77">
      <c r="A77" t="inlineStr">
        <is>
          <t>edge-iot-arch-guide</t>
        </is>
      </c>
      <c r="B77" s="3" t="n">
        <v>46154.47584490741</v>
      </c>
      <c r="C77" t="inlineStr">
        <is>
          <t>PUBLIC</t>
        </is>
      </c>
      <c r="D77" t="b">
        <v>0</v>
      </c>
      <c r="E77" s="4" t="n"/>
      <c r="F77" s="4" t="n"/>
      <c r="G77" s="4" t="n"/>
      <c r="H77" t="inlineStr">
        <is>
          <t>RESTRICTED: Must have push access to repository</t>
        </is>
      </c>
      <c r="I77" s="5">
        <f>HYPERLINK("https://github.com/" &amp; "arm-software" &amp; "/" &amp; A77, A77)</f>
        <v/>
      </c>
    </row>
    <row r="78">
      <c r="A78" s="2" t="inlineStr">
        <is>
          <t>ACI-GetStarted</t>
        </is>
      </c>
      <c r="B78" s="6" t="n">
        <v>46150.42998842592</v>
      </c>
      <c r="C78" s="2" t="inlineStr">
        <is>
          <t>PUBLIC</t>
        </is>
      </c>
      <c r="D78" s="2" t="b">
        <v>0</v>
      </c>
      <c r="E78" s="7" t="n">
        <v>11</v>
      </c>
      <c r="F78" s="7" t="n">
        <v>26</v>
      </c>
      <c r="G78" s="7" t="n">
        <v>28</v>
      </c>
      <c r="H78" s="2" t="inlineStr">
        <is>
          <t>OK</t>
        </is>
      </c>
      <c r="I78" s="8">
        <f>HYPERLINK("https://github.com/" &amp; "arm-software" &amp; "/" &amp; A78, A78)</f>
        <v/>
      </c>
      <c r="J78" s="2" t="n"/>
    </row>
    <row r="79">
      <c r="A79" t="inlineStr">
        <is>
          <t>libGPUCounters</t>
        </is>
      </c>
      <c r="B79" s="3" t="n">
        <v>46150.42311342592</v>
      </c>
      <c r="C79" t="inlineStr">
        <is>
          <t>PUBLIC</t>
        </is>
      </c>
      <c r="D79" t="b">
        <v>0</v>
      </c>
      <c r="E79" s="4" t="n"/>
      <c r="F79" s="4" t="n"/>
      <c r="G79" s="4" t="n"/>
      <c r="H79" t="inlineStr">
        <is>
          <t>RESTRICTED: Must have push access to repository</t>
        </is>
      </c>
      <c r="I79" s="5">
        <f>HYPERLINK("https://github.com/" &amp; "arm-software" &amp; "/" &amp; A79, A79)</f>
        <v/>
      </c>
    </row>
    <row r="80">
      <c r="A80" s="2" t="inlineStr">
        <is>
          <t>ff-a-acs</t>
        </is>
      </c>
      <c r="B80" s="6" t="n">
        <v>46149.27006944444</v>
      </c>
      <c r="C80" s="2" t="inlineStr">
        <is>
          <t>PUBLIC</t>
        </is>
      </c>
      <c r="D80" s="2" t="b">
        <v>0</v>
      </c>
      <c r="E80" s="7" t="n"/>
      <c r="F80" s="7" t="n"/>
      <c r="G80" s="7" t="n"/>
      <c r="H80" s="2" t="inlineStr">
        <is>
          <t>RESTRICTED: Must have push access to repository</t>
        </is>
      </c>
      <c r="I80" s="8">
        <f>HYPERLINK("https://github.com/" &amp; "arm-software" &amp; "/" &amp; A80, A80)</f>
        <v/>
      </c>
      <c r="J80" s="2" t="n"/>
    </row>
    <row r="81">
      <c r="A81" t="inlineStr">
        <is>
          <t>abi-aa</t>
        </is>
      </c>
      <c r="B81" s="3" t="n">
        <v>46147.34784722222</v>
      </c>
      <c r="C81" t="inlineStr">
        <is>
          <t>PUBLIC</t>
        </is>
      </c>
      <c r="D81" t="b">
        <v>0</v>
      </c>
      <c r="E81" s="4" t="n"/>
      <c r="F81" s="4" t="n"/>
      <c r="G81" s="4" t="n"/>
      <c r="H81" t="inlineStr">
        <is>
          <t>RESTRICTED: Must have push access to repository</t>
        </is>
      </c>
      <c r="I81" s="5">
        <f>HYPERLINK("https://github.com/" &amp; "arm-software" &amp; "/" &amp; A81, A81)</f>
        <v/>
      </c>
    </row>
    <row r="82">
      <c r="A82" s="2" t="inlineStr">
        <is>
          <t>data</t>
        </is>
      </c>
      <c r="B82" s="6" t="n">
        <v>46143.64418981481</v>
      </c>
      <c r="C82" s="2" t="inlineStr">
        <is>
          <t>PUBLIC</t>
        </is>
      </c>
      <c r="D82" s="2" t="b">
        <v>0</v>
      </c>
      <c r="E82" s="7" t="n"/>
      <c r="F82" s="7" t="n"/>
      <c r="G82" s="7" t="n"/>
      <c r="H82" s="2" t="inlineStr">
        <is>
          <t>RESTRICTED: Must have push access to repository</t>
        </is>
      </c>
      <c r="I82" s="8">
        <f>HYPERLINK("https://github.com/" &amp; "arm-software" &amp; "/" &amp; A82, A82)</f>
        <v/>
      </c>
      <c r="J82" s="2" t="n"/>
    </row>
    <row r="83">
      <c r="A83" t="inlineStr">
        <is>
          <t>cca-rmm-acs</t>
        </is>
      </c>
      <c r="B83" s="3" t="n">
        <v>46140.37082175926</v>
      </c>
      <c r="C83" t="inlineStr">
        <is>
          <t>PUBLIC</t>
        </is>
      </c>
      <c r="D83" t="b">
        <v>0</v>
      </c>
      <c r="E83" s="4" t="n"/>
      <c r="F83" s="4" t="n"/>
      <c r="G83" s="4" t="n"/>
      <c r="H83" t="inlineStr">
        <is>
          <t>RESTRICTED: Must have push access to repository</t>
        </is>
      </c>
      <c r="I83" s="5">
        <f>HYPERLINK("https://github.com/" &amp; "arm-software" &amp; "/" &amp; A83, A83)</f>
        <v/>
      </c>
    </row>
    <row r="84">
      <c r="A84" s="2" t="inlineStr">
        <is>
          <t>libGPULayers</t>
        </is>
      </c>
      <c r="B84" s="6" t="n">
        <v>46133.5071875</v>
      </c>
      <c r="C84" s="2" t="inlineStr">
        <is>
          <t>PUBLIC</t>
        </is>
      </c>
      <c r="D84" s="2" t="b">
        <v>0</v>
      </c>
      <c r="E84" s="7" t="n"/>
      <c r="F84" s="7" t="n"/>
      <c r="G84" s="7" t="n"/>
      <c r="H84" s="2" t="inlineStr">
        <is>
          <t>RESTRICTED: Must have push access to repository</t>
        </is>
      </c>
      <c r="I84" s="8">
        <f>HYPERLINK("https://github.com/" &amp; "arm-software" &amp; "/" &amp; A84, A84)</f>
        <v/>
      </c>
      <c r="J84" s="2" t="n"/>
    </row>
    <row r="85">
      <c r="A85" t="inlineStr">
        <is>
          <t>libGPUInfo</t>
        </is>
      </c>
      <c r="B85" s="3" t="n">
        <v>46133.50545138889</v>
      </c>
      <c r="C85" t="inlineStr">
        <is>
          <t>PUBLIC</t>
        </is>
      </c>
      <c r="D85" t="b">
        <v>0</v>
      </c>
      <c r="E85" s="4" t="n"/>
      <c r="F85" s="4" t="n"/>
      <c r="G85" s="4" t="n"/>
      <c r="H85" t="inlineStr">
        <is>
          <t>RESTRICTED: Must have push access to repository</t>
        </is>
      </c>
      <c r="I85" s="5">
        <f>HYPERLINK("https://github.com/" &amp; "arm-software" &amp; "/" &amp; A85, A85)</f>
        <v/>
      </c>
    </row>
    <row r="86">
      <c r="A86" s="2" t="inlineStr">
        <is>
          <t>Vulkan-Samples</t>
        </is>
      </c>
      <c r="B86" s="6" t="n">
        <v>46133.35784722222</v>
      </c>
      <c r="C86" s="2" t="inlineStr">
        <is>
          <t>PUBLIC</t>
        </is>
      </c>
      <c r="D86" s="2" t="b">
        <v>0</v>
      </c>
      <c r="E86" s="7" t="n"/>
      <c r="F86" s="7" t="n"/>
      <c r="G86" s="7" t="n"/>
      <c r="H86" s="2" t="inlineStr">
        <is>
          <t>RESTRICTED: Must have push access to repository</t>
        </is>
      </c>
      <c r="I86" s="8">
        <f>HYPERLINK("https://github.com/" &amp; "arm-software" &amp; "/" &amp; A86, A86)</f>
        <v/>
      </c>
      <c r="J86" s="2" t="n"/>
    </row>
    <row r="87">
      <c r="A87" t="inlineStr">
        <is>
          <t>CMSIS-CV</t>
        </is>
      </c>
      <c r="B87" s="3" t="n">
        <v>46132.77178240741</v>
      </c>
      <c r="C87" t="inlineStr">
        <is>
          <t>PUBLIC</t>
        </is>
      </c>
      <c r="D87" t="b">
        <v>0</v>
      </c>
      <c r="E87" s="4" t="n">
        <v>9</v>
      </c>
      <c r="F87" s="4" t="n">
        <v>68</v>
      </c>
      <c r="G87" s="4" t="n">
        <v>40</v>
      </c>
      <c r="H87" t="inlineStr">
        <is>
          <t>OK</t>
        </is>
      </c>
      <c r="I87" s="5">
        <f>HYPERLINK("https://github.com/" &amp; "arm-software" &amp; "/" &amp; A87, A87)</f>
        <v/>
      </c>
    </row>
    <row r="88">
      <c r="A88" s="2" t="inlineStr">
        <is>
          <t>vscode-device-manager</t>
        </is>
      </c>
      <c r="B88" s="6" t="n">
        <v>46129.5041087963</v>
      </c>
      <c r="C88" s="2" t="inlineStr">
        <is>
          <t>PUBLIC</t>
        </is>
      </c>
      <c r="D88" s="2" t="b">
        <v>0</v>
      </c>
      <c r="E88" s="7" t="n"/>
      <c r="F88" s="7" t="n"/>
      <c r="G88" s="7" t="n"/>
      <c r="H88" s="2" t="inlineStr">
        <is>
          <t>RESTRICTED: Must have push access to repository</t>
        </is>
      </c>
      <c r="I88" s="8">
        <f>HYPERLINK("https://github.com/" &amp; "arm-software" &amp; "/" &amp; A88, A88)</f>
        <v/>
      </c>
      <c r="J88" s="2" t="n"/>
    </row>
    <row r="89">
      <c r="A89" t="inlineStr">
        <is>
          <t>psa-arch-tests</t>
        </is>
      </c>
      <c r="B89" s="3" t="n">
        <v>46129.39611111111</v>
      </c>
      <c r="C89" t="inlineStr">
        <is>
          <t>PUBLIC</t>
        </is>
      </c>
      <c r="D89" t="b">
        <v>0</v>
      </c>
      <c r="E89" s="4" t="n"/>
      <c r="F89" s="4" t="n"/>
      <c r="G89" s="4" t="n"/>
      <c r="H89" t="inlineStr">
        <is>
          <t>RESTRICTED: Must have push access to repository</t>
        </is>
      </c>
      <c r="I89" s="5">
        <f>HYPERLINK("https://github.com/" &amp; "arm-software" &amp; "/" &amp; A89, A89)</f>
        <v/>
      </c>
    </row>
    <row r="90">
      <c r="A90" s="2" t="inlineStr">
        <is>
          <t>vscode-embedded-debug</t>
        </is>
      </c>
      <c r="B90" s="6" t="n">
        <v>46128.42516203703</v>
      </c>
      <c r="C90" s="2" t="inlineStr">
        <is>
          <t>PUBLIC</t>
        </is>
      </c>
      <c r="D90" s="2" t="b">
        <v>0</v>
      </c>
      <c r="E90" s="7" t="n"/>
      <c r="F90" s="7" t="n"/>
      <c r="G90" s="7" t="n"/>
      <c r="H90" s="2" t="inlineStr">
        <is>
          <t>RESTRICTED: Must have push access to repository</t>
        </is>
      </c>
      <c r="I90" s="8">
        <f>HYPERLINK("https://github.com/" &amp; "arm-software" &amp; "/" &amp; A90, A90)</f>
        <v/>
      </c>
      <c r="J90" s="2" t="n"/>
    </row>
    <row r="91">
      <c r="A91" t="inlineStr">
        <is>
          <t>vscode-arm-debugger</t>
        </is>
      </c>
      <c r="B91" s="3" t="n">
        <v>46128.3609375</v>
      </c>
      <c r="C91" t="inlineStr">
        <is>
          <t>PUBLIC</t>
        </is>
      </c>
      <c r="D91" t="b">
        <v>0</v>
      </c>
      <c r="E91" s="4" t="n"/>
      <c r="F91" s="4" t="n"/>
      <c r="G91" s="4" t="n"/>
      <c r="H91" t="inlineStr">
        <is>
          <t>RESTRICTED: Must have push access to repository</t>
        </is>
      </c>
      <c r="I91" s="5">
        <f>HYPERLINK("https://github.com/" &amp; "arm-software" &amp; "/" &amp; A91, A91)</f>
        <v/>
      </c>
    </row>
    <row r="92">
      <c r="A92" s="2" t="inlineStr">
        <is>
          <t>gator</t>
        </is>
      </c>
      <c r="B92" s="6" t="n">
        <v>46125.7812037037</v>
      </c>
      <c r="C92" s="2" t="inlineStr">
        <is>
          <t>PUBLIC</t>
        </is>
      </c>
      <c r="D92" s="2" t="b">
        <v>0</v>
      </c>
      <c r="E92" s="7" t="n"/>
      <c r="F92" s="7" t="n"/>
      <c r="G92" s="7" t="n"/>
      <c r="H92" s="2" t="inlineStr">
        <is>
          <t>RESTRICTED: Must have push access to repository</t>
        </is>
      </c>
      <c r="I92" s="8">
        <f>HYPERLINK("https://github.com/" &amp; "arm-software" &amp; "/" &amp; A92, A92)</f>
        <v/>
      </c>
      <c r="J92" s="2" t="n"/>
    </row>
    <row r="93">
      <c r="A93" t="inlineStr">
        <is>
          <t>devtools</t>
        </is>
      </c>
      <c r="B93" s="3" t="n">
        <v>46104.28309027778</v>
      </c>
      <c r="C93" t="inlineStr">
        <is>
          <t>PUBLIC</t>
        </is>
      </c>
      <c r="D93" t="b">
        <v>0</v>
      </c>
      <c r="E93" s="4" t="n">
        <v>12</v>
      </c>
      <c r="F93" s="4" t="n">
        <v>17</v>
      </c>
      <c r="G93" s="4" t="n">
        <v>20</v>
      </c>
      <c r="H93" t="inlineStr">
        <is>
          <t>OK</t>
        </is>
      </c>
      <c r="I93" s="5">
        <f>HYPERLINK("https://github.com/" &amp; "arm-software" &amp; "/" &amp; A93, A93)</f>
        <v/>
      </c>
    </row>
    <row r="94">
      <c r="A94" s="2" t="inlineStr">
        <is>
          <t>AVH-MLOps</t>
        </is>
      </c>
      <c r="B94" s="6" t="n">
        <v>46098.60314814815</v>
      </c>
      <c r="C94" s="2" t="inlineStr">
        <is>
          <t>PUBLIC</t>
        </is>
      </c>
      <c r="D94" s="2" t="b">
        <v>0</v>
      </c>
      <c r="E94" s="7" t="n">
        <v>4</v>
      </c>
      <c r="F94" s="7" t="n">
        <v>23</v>
      </c>
      <c r="G94" s="7" t="n">
        <v>8</v>
      </c>
      <c r="H94" s="2" t="inlineStr">
        <is>
          <t>OK</t>
        </is>
      </c>
      <c r="I94" s="8">
        <f>HYPERLINK("https://github.com/" &amp; "arm-software" &amp; "/" &amp; A94, A94)</f>
        <v/>
      </c>
      <c r="J94" s="2" t="n"/>
    </row>
    <row r="95">
      <c r="A95" t="inlineStr">
        <is>
          <t>vscode-environment-manager</t>
        </is>
      </c>
      <c r="B95" s="3" t="n">
        <v>46094.72692129629</v>
      </c>
      <c r="C95" t="inlineStr">
        <is>
          <t>PUBLIC</t>
        </is>
      </c>
      <c r="D95" t="b">
        <v>0</v>
      </c>
      <c r="E95" s="4" t="n"/>
      <c r="F95" s="4" t="n"/>
      <c r="G95" s="4" t="n"/>
      <c r="H95" t="inlineStr">
        <is>
          <t>RESTRICTED: Must have push access to repository</t>
        </is>
      </c>
      <c r="I95" s="5">
        <f>HYPERLINK("https://github.com/" &amp; "arm-software" &amp; "/" &amp; A95, A95)</f>
        <v/>
      </c>
    </row>
    <row r="96">
      <c r="A96" s="2" t="inlineStr">
        <is>
          <t>mango</t>
        </is>
      </c>
      <c r="B96" s="6" t="n">
        <v>46092.75917824074</v>
      </c>
      <c r="C96" s="2" t="inlineStr">
        <is>
          <t>PUBLIC</t>
        </is>
      </c>
      <c r="D96" s="2" t="b">
        <v>0</v>
      </c>
      <c r="E96" s="7" t="n"/>
      <c r="F96" s="7" t="n"/>
      <c r="G96" s="7" t="n"/>
      <c r="H96" s="2" t="inlineStr">
        <is>
          <t>RESTRICTED: Must have push access to repository</t>
        </is>
      </c>
      <c r="I96" s="8">
        <f>HYPERLINK("https://github.com/" &amp; "arm-software" &amp; "/" &amp; A96, A96)</f>
        <v/>
      </c>
      <c r="J96" s="2" t="n"/>
    </row>
    <row r="97">
      <c r="A97" t="inlineStr">
        <is>
          <t>CMSIS-View</t>
        </is>
      </c>
      <c r="B97" s="3" t="n">
        <v>46087.54377314815</v>
      </c>
      <c r="C97" t="inlineStr">
        <is>
          <t>PUBLIC</t>
        </is>
      </c>
      <c r="D97" t="b">
        <v>0</v>
      </c>
      <c r="E97" s="4" t="n">
        <v>56</v>
      </c>
      <c r="F97" s="4" t="n">
        <v>11913</v>
      </c>
      <c r="G97" s="4" t="n">
        <v>82</v>
      </c>
      <c r="H97" t="inlineStr">
        <is>
          <t>OK</t>
        </is>
      </c>
      <c r="I97" s="5">
        <f>HYPERLINK("https://github.com/" &amp; "arm-software" &amp; "/" &amp; A97, A97)</f>
        <v/>
      </c>
    </row>
    <row r="98">
      <c r="A98" s="2" t="inlineStr">
        <is>
          <t>mram_simulation_framework</t>
        </is>
      </c>
      <c r="B98" s="6" t="n">
        <v>46083.62385416667</v>
      </c>
      <c r="C98" s="2" t="inlineStr">
        <is>
          <t>PUBLIC</t>
        </is>
      </c>
      <c r="D98" s="2" t="b">
        <v>0</v>
      </c>
      <c r="E98" s="7" t="n"/>
      <c r="F98" s="7" t="n"/>
      <c r="G98" s="7" t="n"/>
      <c r="H98" s="2" t="inlineStr">
        <is>
          <t>RESTRICTED: Must have push access to repository</t>
        </is>
      </c>
      <c r="I98" s="8">
        <f>HYPERLINK("https://github.com/" &amp; "arm-software" &amp; "/" &amp; A98, A98)</f>
        <v/>
      </c>
      <c r="J98" s="2" t="n"/>
    </row>
    <row r="99">
      <c r="A99" t="inlineStr">
        <is>
          <t>CMSIS-Zone</t>
        </is>
      </c>
      <c r="B99" s="3" t="n">
        <v>46079.58258101852</v>
      </c>
      <c r="C99" t="inlineStr">
        <is>
          <t>PUBLIC</t>
        </is>
      </c>
      <c r="D99" t="b">
        <v>0</v>
      </c>
      <c r="E99" s="4" t="n">
        <v>18</v>
      </c>
      <c r="F99" s="4" t="n">
        <v>28</v>
      </c>
      <c r="G99" s="4" t="n">
        <v>31</v>
      </c>
      <c r="H99" t="inlineStr">
        <is>
          <t>OK</t>
        </is>
      </c>
      <c r="I99" s="5">
        <f>HYPERLINK("https://github.com/" &amp; "arm-software" &amp; "/" &amp; A99, A99)</f>
        <v/>
      </c>
    </row>
    <row r="100">
      <c r="A100" s="2" t="inlineStr">
        <is>
          <t>vscode-keil-studio-pack</t>
        </is>
      </c>
      <c r="B100" s="6" t="n">
        <v>46070.70847222222</v>
      </c>
      <c r="C100" s="2" t="inlineStr">
        <is>
          <t>PUBLIC</t>
        </is>
      </c>
      <c r="D100" s="2" t="b">
        <v>0</v>
      </c>
      <c r="E100" s="7" t="n"/>
      <c r="F100" s="7" t="n"/>
      <c r="G100" s="7" t="n"/>
      <c r="H100" s="2" t="inlineStr">
        <is>
          <t>RESTRICTED: Must have push access to repository</t>
        </is>
      </c>
      <c r="I100" s="8">
        <f>HYPERLINK("https://github.com/" &amp; "arm-software" &amp; "/" &amp; A100, A100)</f>
        <v/>
      </c>
      <c r="J100" s="2" t="n"/>
    </row>
    <row r="101">
      <c r="A101" t="inlineStr">
        <is>
          <t>CMSIS-mbedTLS</t>
        </is>
      </c>
      <c r="B101" s="3" t="n">
        <v>46058.69761574074</v>
      </c>
      <c r="C101" t="inlineStr">
        <is>
          <t>PUBLIC</t>
        </is>
      </c>
      <c r="D101" t="b">
        <v>0</v>
      </c>
      <c r="E101" s="4" t="n"/>
      <c r="F101" s="4" t="n"/>
      <c r="G101" s="4" t="n"/>
      <c r="H101" t="inlineStr">
        <is>
          <t>RESTRICTED: Must have push access to repository</t>
        </is>
      </c>
      <c r="I101" s="5">
        <f>HYPERLINK("https://github.com/" &amp; "arm-software" &amp; "/" &amp; A101, A101)</f>
        <v/>
      </c>
    </row>
    <row r="102">
      <c r="A102" s="2" t="inlineStr">
        <is>
          <t>psa-acs-common-val</t>
        </is>
      </c>
      <c r="B102" s="6" t="n">
        <v>46029.70966435185</v>
      </c>
      <c r="C102" s="2" t="inlineStr">
        <is>
          <t>PUBLIC</t>
        </is>
      </c>
      <c r="D102" s="2" t="b">
        <v>0</v>
      </c>
      <c r="E102" s="7" t="n"/>
      <c r="F102" s="7" t="n"/>
      <c r="G102" s="7" t="n"/>
      <c r="H102" s="2" t="inlineStr">
        <is>
          <t>RESTRICTED: Must have push access to repository</t>
        </is>
      </c>
      <c r="I102" s="8">
        <f>HYPERLINK("https://github.com/" &amp; "arm-software" &amp; "/" &amp; A102, A102)</f>
        <v/>
      </c>
      <c r="J102" s="2" t="n"/>
    </row>
    <row r="103">
      <c r="A103" t="inlineStr">
        <is>
          <t>PAF</t>
        </is>
      </c>
      <c r="B103" s="3" t="n">
        <v>45981.65649305555</v>
      </c>
      <c r="C103" t="inlineStr">
        <is>
          <t>PUBLIC</t>
        </is>
      </c>
      <c r="D103" t="b">
        <v>0</v>
      </c>
      <c r="E103" s="4" t="n"/>
      <c r="F103" s="4" t="n"/>
      <c r="G103" s="4" t="n"/>
      <c r="H103" t="inlineStr">
        <is>
          <t>RESTRICTED: Must have push access to repository</t>
        </is>
      </c>
      <c r="I103" s="5">
        <f>HYPERLINK("https://github.com/" &amp; "arm-software" &amp; "/" &amp; A103, A103)</f>
        <v/>
      </c>
    </row>
    <row r="104">
      <c r="A104" s="2" t="inlineStr">
        <is>
          <t>arm-performance-studio-integration-for-godot</t>
        </is>
      </c>
      <c r="B104" s="6" t="n">
        <v>45931.64679398148</v>
      </c>
      <c r="C104" s="2" t="inlineStr">
        <is>
          <t>PUBLIC</t>
        </is>
      </c>
      <c r="D104" s="2" t="b">
        <v>0</v>
      </c>
      <c r="E104" s="7" t="n"/>
      <c r="F104" s="7" t="n"/>
      <c r="G104" s="7" t="n"/>
      <c r="H104" s="2" t="inlineStr">
        <is>
          <t>RESTRICTED: Must have push access to repository</t>
        </is>
      </c>
      <c r="I104" s="8">
        <f>HYPERLINK("https://github.com/" &amp; "arm-software" &amp; "/" &amp; A104, A104)</f>
        <v/>
      </c>
      <c r="J104" s="2" t="n"/>
    </row>
    <row r="105">
      <c r="A105" t="inlineStr">
        <is>
          <t>vktrace-arm</t>
        </is>
      </c>
      <c r="B105" s="3" t="n">
        <v>45922.22589120371</v>
      </c>
      <c r="C105" t="inlineStr">
        <is>
          <t>PUBLIC</t>
        </is>
      </c>
      <c r="D105" t="b">
        <v>0</v>
      </c>
      <c r="E105" s="4" t="n"/>
      <c r="F105" s="4" t="n"/>
      <c r="G105" s="4" t="n"/>
      <c r="H105" t="inlineStr">
        <is>
          <t>RESTRICTED: Must have push access to repository</t>
        </is>
      </c>
      <c r="I105" s="5">
        <f>HYPERLINK("https://github.com/" &amp; "arm-software" &amp; "/" &amp; A105, A105)</f>
        <v/>
      </c>
    </row>
    <row r="106">
      <c r="A106" s="2" t="inlineStr">
        <is>
          <t>r-profile-user-guide-examples</t>
        </is>
      </c>
      <c r="B106" s="6" t="n">
        <v>45915.47939814815</v>
      </c>
      <c r="C106" s="2" t="inlineStr">
        <is>
          <t>PUBLIC</t>
        </is>
      </c>
      <c r="D106" s="2" t="b">
        <v>0</v>
      </c>
      <c r="E106" s="7" t="n"/>
      <c r="F106" s="7" t="n"/>
      <c r="G106" s="7" t="n"/>
      <c r="H106" s="2" t="inlineStr">
        <is>
          <t>RESTRICTED: Must have push access to repository</t>
        </is>
      </c>
      <c r="I106" s="8">
        <f>HYPERLINK("https://github.com/" &amp; "arm-software" &amp; "/" &amp; A106, A106)</f>
        <v/>
      </c>
      <c r="J106" s="2" t="n"/>
    </row>
    <row r="107">
      <c r="A107" t="inlineStr">
        <is>
          <t>patrace</t>
        </is>
      </c>
      <c r="B107" s="3" t="n">
        <v>45909.61929398148</v>
      </c>
      <c r="C107" t="inlineStr">
        <is>
          <t>PUBLIC</t>
        </is>
      </c>
      <c r="D107" t="b">
        <v>0</v>
      </c>
      <c r="E107" s="4" t="n"/>
      <c r="F107" s="4" t="n"/>
      <c r="G107" s="4" t="n"/>
      <c r="H107" t="inlineStr">
        <is>
          <t>RESTRICTED: Must have push access to repository</t>
        </is>
      </c>
      <c r="I107" s="5">
        <f>HYPERLINK("https://github.com/" &amp; "arm-software" &amp; "/" &amp; A107, A107)</f>
        <v/>
      </c>
    </row>
    <row r="108">
      <c r="A108" s="2" t="inlineStr">
        <is>
          <t>synchronization-benchmarks</t>
        </is>
      </c>
      <c r="B108" s="6" t="n">
        <v>45869.90021990741</v>
      </c>
      <c r="C108" s="2" t="inlineStr">
        <is>
          <t>PUBLIC</t>
        </is>
      </c>
      <c r="D108" s="2" t="b">
        <v>0</v>
      </c>
      <c r="E108" s="7" t="n"/>
      <c r="F108" s="7" t="n"/>
      <c r="G108" s="7" t="n"/>
      <c r="H108" s="2" t="inlineStr">
        <is>
          <t>RESTRICTED: Must have push access to repository</t>
        </is>
      </c>
      <c r="I108" s="8">
        <f>HYPERLINK("https://github.com/" &amp; "arm-software" &amp; "/" &amp; A108, A108)</f>
        <v/>
      </c>
      <c r="J108" s="2" t="n"/>
    </row>
    <row r="109">
      <c r="A109" t="inlineStr">
        <is>
          <t>coresight-wire-protocol</t>
        </is>
      </c>
      <c r="B109" s="3" t="n">
        <v>45848.44728009259</v>
      </c>
      <c r="C109" t="inlineStr">
        <is>
          <t>PUBLIC</t>
        </is>
      </c>
      <c r="D109" t="b">
        <v>0</v>
      </c>
      <c r="E109" s="4" t="n"/>
      <c r="F109" s="4" t="n"/>
      <c r="G109" s="4" t="n"/>
      <c r="H109" t="inlineStr">
        <is>
          <t>RESTRICTED: Must have push access to repository</t>
        </is>
      </c>
      <c r="I109" s="5">
        <f>HYPERLINK("https://github.com/" &amp; "arm-software" &amp; "/" &amp; A109, A109)</f>
        <v/>
      </c>
    </row>
    <row r="110">
      <c r="A110" s="2" t="inlineStr">
        <is>
          <t>infra-microbenchmarks</t>
        </is>
      </c>
      <c r="B110" s="6" t="n">
        <v>45812.17680555556</v>
      </c>
      <c r="C110" s="2" t="inlineStr">
        <is>
          <t>PUBLIC</t>
        </is>
      </c>
      <c r="D110" s="2" t="b">
        <v>0</v>
      </c>
      <c r="E110" s="7" t="n"/>
      <c r="F110" s="7" t="n"/>
      <c r="G110" s="7" t="n"/>
      <c r="H110" s="2" t="inlineStr">
        <is>
          <t>RESTRICTED: Must have push access to repository</t>
        </is>
      </c>
      <c r="I110" s="8">
        <f>HYPERLINK("https://github.com/" &amp; "arm-software" &amp; "/" &amp; A110, A110)</f>
        <v/>
      </c>
      <c r="J110" s="2" t="n"/>
    </row>
    <row r="111">
      <c r="A111" t="inlineStr">
        <is>
          <t>cmsis-pack-eclipse</t>
        </is>
      </c>
      <c r="B111" s="3" t="n">
        <v>45804.42741898148</v>
      </c>
      <c r="C111" t="inlineStr">
        <is>
          <t>PUBLIC</t>
        </is>
      </c>
      <c r="D111" t="b">
        <v>0</v>
      </c>
      <c r="E111" s="4" t="n"/>
      <c r="F111" s="4" t="n"/>
      <c r="G111" s="4" t="n"/>
      <c r="H111" t="inlineStr">
        <is>
          <t>RESTRICTED: Must have push access to repository</t>
        </is>
      </c>
      <c r="I111" s="5">
        <f>HYPERLINK("https://github.com/" &amp; "arm-software" &amp; "/" &amp; A111, A111)</f>
        <v/>
      </c>
    </row>
    <row r="112">
      <c r="A112" s="2" t="inlineStr">
        <is>
          <t>AArch64cryptolib</t>
        </is>
      </c>
      <c r="B112" s="6" t="n">
        <v>45804.39114583333</v>
      </c>
      <c r="C112" s="2" t="inlineStr">
        <is>
          <t>PUBLIC</t>
        </is>
      </c>
      <c r="D112" s="2" t="b">
        <v>0</v>
      </c>
      <c r="E112" s="7" t="n"/>
      <c r="F112" s="7" t="n"/>
      <c r="G112" s="7" t="n"/>
      <c r="H112" s="2" t="inlineStr">
        <is>
          <t>RESTRICTED: Must have push access to repository</t>
        </is>
      </c>
      <c r="I112" s="8">
        <f>HYPERLINK("https://github.com/" &amp; "arm-software" &amp; "/" &amp; A112, A112)</f>
        <v/>
      </c>
      <c r="J112" s="2" t="n"/>
    </row>
    <row r="113">
      <c r="A113" t="inlineStr">
        <is>
          <t>LLVM-embedded-toolchain-for-Arm</t>
        </is>
      </c>
      <c r="B113" s="3" t="n">
        <v>45789.57412037037</v>
      </c>
      <c r="C113" t="inlineStr">
        <is>
          <t>PUBLIC</t>
        </is>
      </c>
      <c r="D113" t="b">
        <v>0</v>
      </c>
      <c r="E113" s="4" t="n"/>
      <c r="F113" s="4" t="n"/>
      <c r="G113" s="4" t="n"/>
      <c r="H113" t="inlineStr">
        <is>
          <t>RESTRICTED: Must have push access to repository</t>
        </is>
      </c>
      <c r="I113" s="5">
        <f>HYPERLINK("https://github.com/" &amp; "arm-software" &amp; "/" &amp; A113, A113)</f>
        <v/>
      </c>
    </row>
    <row r="114">
      <c r="A114" s="2" t="inlineStr">
        <is>
          <t>ethos-n-driver-stack</t>
        </is>
      </c>
      <c r="B114" s="6" t="n">
        <v>45748.47700231482</v>
      </c>
      <c r="C114" s="2" t="inlineStr">
        <is>
          <t>PUBLIC</t>
        </is>
      </c>
      <c r="D114" s="2" t="b">
        <v>0</v>
      </c>
      <c r="E114" s="7" t="n"/>
      <c r="F114" s="7" t="n"/>
      <c r="G114" s="7" t="n"/>
      <c r="H114" s="2" t="inlineStr">
        <is>
          <t>RESTRICTED: Must have push access to repository</t>
        </is>
      </c>
      <c r="I114" s="8">
        <f>HYPERLINK("https://github.com/" &amp; "arm-software" &amp; "/" &amp; A114, A114)</f>
        <v/>
      </c>
      <c r="J114" s="2" t="n"/>
    </row>
    <row r="115">
      <c r="A115" t="inlineStr">
        <is>
          <t>secure-debug-manager</t>
        </is>
      </c>
      <c r="B115" s="3" t="n">
        <v>45734.75314814815</v>
      </c>
      <c r="C115" t="inlineStr">
        <is>
          <t>PUBLIC</t>
        </is>
      </c>
      <c r="D115" t="b">
        <v>0</v>
      </c>
      <c r="E115" s="4" t="n"/>
      <c r="F115" s="4" t="n"/>
      <c r="G115" s="4" t="n"/>
      <c r="H115" t="inlineStr">
        <is>
          <t>RESTRICTED: Must have push access to repository</t>
        </is>
      </c>
      <c r="I115" s="5">
        <f>HYPERLINK("https://github.com/" &amp; "arm-software" &amp; "/" &amp; A115, A115)</f>
        <v/>
      </c>
    </row>
    <row r="116">
      <c r="A116" s="2" t="inlineStr">
        <is>
          <t>android-nn-driver</t>
        </is>
      </c>
      <c r="B116" s="6" t="n">
        <v>45707.75103009259</v>
      </c>
      <c r="C116" s="2" t="inlineStr">
        <is>
          <t>PUBLIC</t>
        </is>
      </c>
      <c r="D116" s="2" t="b">
        <v>0</v>
      </c>
      <c r="E116" s="7" t="n"/>
      <c r="F116" s="7" t="n"/>
      <c r="G116" s="7" t="n"/>
      <c r="H116" s="2" t="inlineStr">
        <is>
          <t>RESTRICTED: Must have push access to repository</t>
        </is>
      </c>
      <c r="I116" s="8">
        <f>HYPERLINK("https://github.com/" &amp; "arm-software" &amp; "/" &amp; A116, A116)</f>
        <v/>
      </c>
      <c r="J116" s="2" t="n"/>
    </row>
    <row r="117">
      <c r="A117" t="inlineStr">
        <is>
          <t>MDK-Toolbox</t>
        </is>
      </c>
      <c r="B117" s="3" t="n">
        <v>45699.39358796296</v>
      </c>
      <c r="C117" t="inlineStr">
        <is>
          <t>PUBLIC</t>
        </is>
      </c>
      <c r="D117" t="b">
        <v>0</v>
      </c>
      <c r="E117" s="4" t="n"/>
      <c r="F117" s="4" t="n"/>
      <c r="G117" s="4" t="n"/>
      <c r="H117" t="inlineStr">
        <is>
          <t>RESTRICTED: Must have push access to repository</t>
        </is>
      </c>
      <c r="I117" s="5">
        <f>HYPERLINK("https://github.com/" &amp; "arm-software" &amp; "/" &amp; A117, A117)</f>
        <v/>
      </c>
    </row>
    <row r="118">
      <c r="A118" s="2" t="inlineStr">
        <is>
          <t>m-profile-user-guide-examples</t>
        </is>
      </c>
      <c r="B118" s="6" t="n">
        <v>45684.28309027778</v>
      </c>
      <c r="C118" s="2" t="inlineStr">
        <is>
          <t>PUBLIC</t>
        </is>
      </c>
      <c r="D118" s="2" t="b">
        <v>0</v>
      </c>
      <c r="E118" s="7" t="n"/>
      <c r="F118" s="7" t="n"/>
      <c r="G118" s="7" t="n"/>
      <c r="H118" s="2" t="inlineStr">
        <is>
          <t>RESTRICTED: Must have push access to repository</t>
        </is>
      </c>
      <c r="I118" s="8">
        <f>HYPERLINK("https://github.com/" &amp; "arm-software" &amp; "/" &amp; A118, A118)</f>
        <v/>
      </c>
      <c r="J118" s="2" t="n"/>
    </row>
    <row r="119">
      <c r="A119" t="inlineStr">
        <is>
          <t>vscode-virtual-hardware</t>
        </is>
      </c>
      <c r="B119" s="3" t="n">
        <v>45681.5690625</v>
      </c>
      <c r="C119" t="inlineStr">
        <is>
          <t>PUBLIC</t>
        </is>
      </c>
      <c r="D119" t="b">
        <v>0</v>
      </c>
      <c r="E119" s="4" t="n"/>
      <c r="F119" s="4" t="n"/>
      <c r="G119" s="4" t="n"/>
      <c r="H119" t="inlineStr">
        <is>
          <t>RESTRICTED: Must have push access to repository</t>
        </is>
      </c>
      <c r="I119" s="5">
        <f>HYPERLINK("https://github.com/" &amp; "arm-software" &amp; "/" &amp; A119, A119)</f>
        <v/>
      </c>
    </row>
    <row r="120">
      <c r="A120" s="2" t="inlineStr">
        <is>
          <t>vscode-remote-build</t>
        </is>
      </c>
      <c r="B120" s="6" t="n">
        <v>45644.70608796296</v>
      </c>
      <c r="C120" s="2" t="inlineStr">
        <is>
          <t>PUBLIC</t>
        </is>
      </c>
      <c r="D120" s="2" t="b">
        <v>0</v>
      </c>
      <c r="E120" s="7" t="n"/>
      <c r="F120" s="7" t="n"/>
      <c r="G120" s="7" t="n"/>
      <c r="H120" s="2" t="inlineStr">
        <is>
          <t>RESTRICTED: Must have push access to repository</t>
        </is>
      </c>
      <c r="I120" s="8">
        <f>HYPERLINK("https://github.com/" &amp; "arm-software" &amp; "/" &amp; A120, A120)</f>
        <v/>
      </c>
      <c r="J120" s="2" t="n"/>
    </row>
    <row r="121">
      <c r="A121" t="inlineStr">
        <is>
          <t>avhclient</t>
        </is>
      </c>
      <c r="B121" s="3" t="n">
        <v>45639.3744212963</v>
      </c>
      <c r="C121" t="inlineStr">
        <is>
          <t>PUBLIC</t>
        </is>
      </c>
      <c r="D121" t="b">
        <v>0</v>
      </c>
      <c r="E121" s="4" t="n"/>
      <c r="F121" s="4" t="n"/>
      <c r="G121" s="4" t="n"/>
      <c r="H121" t="inlineStr">
        <is>
          <t>RESTRICTED: Must have push access to repository</t>
        </is>
      </c>
      <c r="I121" s="5">
        <f>HYPERLINK("https://github.com/" &amp; "arm-software" &amp; "/" &amp; A121, A121)</f>
        <v/>
      </c>
    </row>
    <row r="122">
      <c r="A122" s="2" t="inlineStr">
        <is>
          <t>.github</t>
        </is>
      </c>
      <c r="B122" s="6" t="n">
        <v>45628.56435185186</v>
      </c>
      <c r="C122" s="2" t="inlineStr">
        <is>
          <t>PUBLIC</t>
        </is>
      </c>
      <c r="D122" s="2" t="b">
        <v>0</v>
      </c>
      <c r="E122" s="7" t="n"/>
      <c r="F122" s="7" t="n"/>
      <c r="G122" s="7" t="n"/>
      <c r="H122" s="2" t="inlineStr">
        <is>
          <t>RESTRICTED: Must have push access to repository</t>
        </is>
      </c>
      <c r="I122" s="8">
        <f>HYPERLINK("https://github.com/" &amp; "arm-software" &amp; "/" &amp; A122, A122)</f>
        <v/>
      </c>
      <c r="J122" s="2" t="n"/>
    </row>
    <row r="123">
      <c r="A123" t="inlineStr">
        <is>
          <t>PMUv3_plugin</t>
        </is>
      </c>
      <c r="B123" s="3" t="n">
        <v>45595.29828703704</v>
      </c>
      <c r="C123" t="inlineStr">
        <is>
          <t>PUBLIC</t>
        </is>
      </c>
      <c r="D123" t="b">
        <v>0</v>
      </c>
      <c r="E123" s="4" t="n"/>
      <c r="F123" s="4" t="n"/>
      <c r="G123" s="4" t="n"/>
      <c r="H123" t="inlineStr">
        <is>
          <t>RESTRICTED: Must have push access to repository</t>
        </is>
      </c>
      <c r="I123" s="5">
        <f>HYPERLINK("https://github.com/" &amp; "arm-software" &amp; "/" &amp; A123, A123)</f>
        <v/>
      </c>
    </row>
    <row r="124">
      <c r="A124" s="2" t="inlineStr">
        <is>
          <t>llram-kernel-driver-for-Cortex-R</t>
        </is>
      </c>
      <c r="B124" s="6" t="n">
        <v>45582.43795138889</v>
      </c>
      <c r="C124" s="2" t="inlineStr">
        <is>
          <t>PUBLIC</t>
        </is>
      </c>
      <c r="D124" s="2" t="b">
        <v>0</v>
      </c>
      <c r="E124" s="7" t="n"/>
      <c r="F124" s="7" t="n"/>
      <c r="G124" s="7" t="n"/>
      <c r="H124" s="2" t="inlineStr">
        <is>
          <t>RESTRICTED: Must have push access to repository</t>
        </is>
      </c>
      <c r="I124" s="8">
        <f>HYPERLINK("https://github.com/" &amp; "arm-software" &amp; "/" &amp; A124, A124)</f>
        <v/>
      </c>
      <c r="J124" s="2" t="n"/>
    </row>
    <row r="125">
      <c r="A125" t="inlineStr">
        <is>
          <t>opengl-es-sdk-for-android</t>
        </is>
      </c>
      <c r="B125" s="3" t="n">
        <v>45573.57653935185</v>
      </c>
      <c r="C125" t="inlineStr">
        <is>
          <t>PUBLIC</t>
        </is>
      </c>
      <c r="D125" t="b">
        <v>0</v>
      </c>
      <c r="E125" s="4" t="n"/>
      <c r="F125" s="4" t="n"/>
      <c r="G125" s="4" t="n"/>
      <c r="H125" t="inlineStr">
        <is>
          <t>RESTRICTED: Must have push access to repository</t>
        </is>
      </c>
      <c r="I125" s="5">
        <f>HYPERLINK("https://github.com/" &amp; "arm-software" &amp; "/" &amp; A125, A125)</f>
        <v/>
      </c>
    </row>
    <row r="126">
      <c r="A126" s="2" t="inlineStr">
        <is>
          <t>libGPUMan</t>
        </is>
      </c>
      <c r="B126" s="6" t="n">
        <v>45553.51059027778</v>
      </c>
      <c r="C126" s="2" t="inlineStr">
        <is>
          <t>PUBLIC</t>
        </is>
      </c>
      <c r="D126" s="2" t="b">
        <v>0</v>
      </c>
      <c r="E126" s="7" t="n"/>
      <c r="F126" s="7" t="n"/>
      <c r="G126" s="7" t="n"/>
      <c r="H126" s="2" t="inlineStr">
        <is>
          <t>RESTRICTED: Must have push access to repository</t>
        </is>
      </c>
      <c r="I126" s="8">
        <f>HYPERLINK("https://github.com/" &amp; "arm-software" &amp; "/" &amp; A126, A126)</f>
        <v/>
      </c>
      <c r="J126" s="2" t="n"/>
    </row>
    <row r="127">
      <c r="A127" t="inlineStr">
        <is>
          <t>vulkan_best_practice_for_mobile_developers</t>
        </is>
      </c>
      <c r="B127" s="3" t="n">
        <v>45510.61255787037</v>
      </c>
      <c r="C127" t="inlineStr">
        <is>
          <t>PUBLIC</t>
        </is>
      </c>
      <c r="D127" t="b">
        <v>0</v>
      </c>
      <c r="E127" s="4" t="n"/>
      <c r="F127" s="4" t="n"/>
      <c r="G127" s="4" t="n"/>
      <c r="H127" t="inlineStr">
        <is>
          <t>RESTRICTED: Must have push access to repository</t>
        </is>
      </c>
      <c r="I127" s="5">
        <f>HYPERLINK("https://github.com/" &amp; "arm-software" &amp; "/" &amp; A127, A127)</f>
        <v/>
      </c>
    </row>
    <row r="128">
      <c r="A128" s="2" t="inlineStr">
        <is>
          <t>Streamline</t>
        </is>
      </c>
      <c r="B128" s="6" t="n">
        <v>45457.41943287037</v>
      </c>
      <c r="C128" s="2" t="inlineStr">
        <is>
          <t>PUBLIC</t>
        </is>
      </c>
      <c r="D128" s="2" t="b">
        <v>0</v>
      </c>
      <c r="E128" s="7" t="n"/>
      <c r="F128" s="7" t="n"/>
      <c r="G128" s="7" t="n"/>
      <c r="H128" s="2" t="inlineStr">
        <is>
          <t>RESTRICTED: Must have push access to repository</t>
        </is>
      </c>
      <c r="I128" s="8">
        <f>HYPERLINK("https://github.com/" &amp; "arm-software" &amp; "/" &amp; A128, A128)</f>
        <v/>
      </c>
      <c r="J12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  <col width="13" customWidth="1" min="3" max="3"/>
    <col width="13" customWidth="1" min="4" max="4"/>
    <col width="21" customWidth="1" min="5" max="5"/>
    <col width="21" customWidth="1" min="6" max="6"/>
    <col width="18" customWidth="1" min="7" max="7"/>
    <col width="50" customWidth="1" min="8" max="8"/>
    <col width="60" customWidth="1" min="9" max="9"/>
    <col width="20" customWidth="1" min="10" max="10"/>
  </cols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</row>
    <row r="2">
      <c r="A2" s="2" t="inlineStr">
        <is>
          <t># Revision History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# Author</t>
        </is>
      </c>
      <c r="B3" t="inlineStr">
        <is>
          <t>OpenAI Codex</t>
        </is>
      </c>
    </row>
    <row r="4">
      <c r="A4" s="2" t="inlineStr">
        <is>
          <t># Date</t>
        </is>
      </c>
      <c r="B4" s="2" t="inlineStr">
        <is>
          <t>2026-06-26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# Change</t>
        </is>
      </c>
      <c r="B5" t="inlineStr">
        <is>
          <t>Initial repository export generated by Get_Repositories.py v1.0.0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# File Description</t>
        </is>
      </c>
    </row>
    <row r="8">
      <c r="A8" s="2" t="inlineStr">
        <is>
          <t># Summary</t>
        </is>
      </c>
      <c r="B8" s="2" t="inlineStr">
        <is>
          <t>Repository data read from a GitHub organization and filtered automatically by visibility, archive status, and activity cutoff.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# Generation Process</t>
        </is>
      </c>
      <c r="B9" t="inlineStr">
        <is>
          <t>Two-stage process: stage 1 automated export by script; stage 2 optional manual filtering if repository-side tags or metadata are missing.</t>
        </is>
      </c>
    </row>
    <row r="10">
      <c r="A10" s="2" t="inlineStr">
        <is>
          <t># Source Script</t>
        </is>
      </c>
      <c r="B10" s="2" t="inlineStr">
        <is>
          <t>Get_Repositories.py v1.0.0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# Suggested Workflows</t>
        </is>
      </c>
      <c r="B11" t="inlineStr">
        <is>
          <t>Excel review, manual repository qualification, and follow-on automation workflows that consume repository lists.</t>
        </is>
      </c>
    </row>
    <row r="12">
      <c r="A12" s="2" t="inlineStr">
        <is>
          <t># Organization</t>
        </is>
      </c>
      <c r="B12" s="2" t="inlineStr">
        <is>
          <t>mdk-packs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# Activity Cutoff</t>
        </is>
      </c>
      <c r="B13" t="inlineStr">
        <is>
          <t>2024-06-01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t="inlineStr">
        <is>
          <t># Field Descriptions</t>
        </is>
      </c>
    </row>
    <row r="16">
      <c r="A16" s="2" t="inlineStr">
        <is>
          <t># repository</t>
        </is>
      </c>
      <c r="B16" s="2" t="inlineStr">
        <is>
          <t>Repository name in the selected GitHub organization.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# last_push</t>
        </is>
      </c>
      <c r="B17" t="inlineStr">
        <is>
          <t>Timestamp of the latest push reported by GitHub.</t>
        </is>
      </c>
    </row>
    <row r="18">
      <c r="A18" s="2" t="inlineStr">
        <is>
          <t># visibility</t>
        </is>
      </c>
      <c r="B18" s="2" t="inlineStr">
        <is>
          <t>Normalized repository visibility status after API readout.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# archived</t>
        </is>
      </c>
      <c r="B19" t="inlineStr">
        <is>
          <t>Archive flag returned by GitHub for the repository.</t>
        </is>
      </c>
    </row>
    <row r="20">
      <c r="A20" s="2" t="inlineStr">
        <is>
          <t># unique_visitors_14d</t>
        </is>
      </c>
      <c r="B20" s="2" t="inlineStr">
        <is>
          <t>Unique repository visitors in the last 14 days.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# unique_cloners_14d</t>
        </is>
      </c>
      <c r="B21" t="inlineStr">
        <is>
          <t>Unique repository cloners in the last 14 days.</t>
        </is>
      </c>
    </row>
    <row r="22">
      <c r="A22" s="2" t="inlineStr">
        <is>
          <t># total_views_14d</t>
        </is>
      </c>
      <c r="B22" s="2" t="inlineStr">
        <is>
          <t>Total repository page views in the last 14 days.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t="inlineStr">
        <is>
          <t># traffic_status</t>
        </is>
      </c>
      <c r="B23" t="inlineStr">
        <is>
          <t>Traffic readout result, for example OK or an API access message.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t="inlineStr">
        <is>
          <t>repository</t>
        </is>
      </c>
      <c r="B25" t="inlineStr">
        <is>
          <t>last_push</t>
        </is>
      </c>
      <c r="C25" t="inlineStr">
        <is>
          <t>visibility</t>
        </is>
      </c>
      <c r="D25" t="inlineStr">
        <is>
          <t>archived</t>
        </is>
      </c>
      <c r="E25" t="inlineStr">
        <is>
          <t>unique_visitors_14d</t>
        </is>
      </c>
      <c r="F25" t="inlineStr">
        <is>
          <t>unique_cloners_14d</t>
        </is>
      </c>
      <c r="G25" t="inlineStr">
        <is>
          <t>total_views_14d</t>
        </is>
      </c>
      <c r="H25" t="inlineStr">
        <is>
          <t>traffic_status</t>
        </is>
      </c>
      <c r="I25" t="inlineStr">
        <is>
          <t>link_2_repository</t>
        </is>
      </c>
      <c r="J25" t="inlineStr">
        <is>
          <t>ignore_status</t>
        </is>
      </c>
    </row>
    <row r="26">
      <c r="A26" s="2" t="inlineStr">
        <is>
          <t>IoT_Socket</t>
        </is>
      </c>
      <c r="B26" s="6" t="n">
        <v>46191.36570601852</v>
      </c>
      <c r="C26" s="2" t="inlineStr">
        <is>
          <t>PUBLIC</t>
        </is>
      </c>
      <c r="D26" s="2" t="b">
        <v>0</v>
      </c>
      <c r="E26" s="7" t="n">
        <v>9</v>
      </c>
      <c r="F26" s="7" t="n">
        <v>82</v>
      </c>
      <c r="G26" s="7" t="n">
        <v>245</v>
      </c>
      <c r="H26" s="2" t="inlineStr">
        <is>
          <t>OK</t>
        </is>
      </c>
      <c r="I26" s="8">
        <f>HYPERLINK("https://github.com/" &amp; "mdk-packs" &amp; "/" &amp; A26, A26)</f>
        <v/>
      </c>
      <c r="J26" s="2" t="n"/>
    </row>
    <row r="27">
      <c r="A27" t="inlineStr">
        <is>
          <t>tensorflow-pack</t>
        </is>
      </c>
      <c r="B27" s="3" t="n">
        <v>46181.42643518518</v>
      </c>
      <c r="C27" t="inlineStr">
        <is>
          <t>PUBLIC</t>
        </is>
      </c>
      <c r="D27" t="b">
        <v>0</v>
      </c>
      <c r="E27" s="4" t="n">
        <v>17</v>
      </c>
      <c r="F27" s="4" t="n">
        <v>32</v>
      </c>
      <c r="G27" s="4" t="n">
        <v>73</v>
      </c>
      <c r="H27" t="inlineStr">
        <is>
          <t>OK</t>
        </is>
      </c>
      <c r="I27" s="5">
        <f>HYPERLINK("https://github.com/" &amp; "mdk-packs" &amp; "/" &amp; A27, A27)</f>
        <v/>
      </c>
    </row>
    <row r="28">
      <c r="A28" s="2" t="inlineStr">
        <is>
          <t>Pack</t>
        </is>
      </c>
      <c r="B28" s="6" t="n">
        <v>46177.52266203704</v>
      </c>
      <c r="C28" s="2" t="inlineStr">
        <is>
          <t>PUBLIC</t>
        </is>
      </c>
      <c r="D28" s="2" t="b">
        <v>0</v>
      </c>
      <c r="E28" s="7" t="n">
        <v>19</v>
      </c>
      <c r="F28" s="7" t="n">
        <v>23</v>
      </c>
      <c r="G28" s="7" t="n">
        <v>44</v>
      </c>
      <c r="H28" s="2" t="inlineStr">
        <is>
          <t>OK</t>
        </is>
      </c>
      <c r="I28" s="8">
        <f>HYPERLINK("https://github.com/" &amp; "mdk-packs" &amp; "/" &amp; A28, A28)</f>
        <v/>
      </c>
      <c r="J28" s="2" t="n"/>
    </row>
    <row r="29">
      <c r="A29" t="inlineStr">
        <is>
          <t>MIMXRT1064-EVK_BSP</t>
        </is>
      </c>
      <c r="B29" s="3" t="n">
        <v>46177.48305555555</v>
      </c>
      <c r="C29" t="inlineStr">
        <is>
          <t>PUBLIC</t>
        </is>
      </c>
      <c r="D29" t="b">
        <v>0</v>
      </c>
      <c r="E29" s="4" t="n">
        <v>2</v>
      </c>
      <c r="F29" s="4" t="n">
        <v>24</v>
      </c>
      <c r="G29" s="4" t="n">
        <v>3</v>
      </c>
      <c r="H29" t="inlineStr">
        <is>
          <t>OK</t>
        </is>
      </c>
      <c r="I29" s="5">
        <f>HYPERLINK("https://github.com/" &amp; "mdk-packs" &amp; "/" &amp; A29, A29)</f>
        <v/>
      </c>
    </row>
    <row r="30">
      <c r="A30" s="2" t="inlineStr">
        <is>
          <t>vscode-cmsis-solution-docs</t>
        </is>
      </c>
      <c r="B30" s="6" t="n">
        <v>46125.59182870371</v>
      </c>
      <c r="C30" s="2" t="inlineStr">
        <is>
          <t>PUBLIC</t>
        </is>
      </c>
      <c r="D30" s="2" t="b">
        <v>0</v>
      </c>
      <c r="E30" s="7" t="n">
        <v>9</v>
      </c>
      <c r="F30" s="7" t="n">
        <v>21</v>
      </c>
      <c r="G30" s="7" t="n">
        <v>25</v>
      </c>
      <c r="H30" s="2" t="inlineStr">
        <is>
          <t>OK</t>
        </is>
      </c>
      <c r="I30" s="8">
        <f>HYPERLINK("https://github.com/" &amp; "mdk-packs" &amp; "/" &amp; A30, A30)</f>
        <v/>
      </c>
      <c r="J30" s="2" t="n"/>
    </row>
    <row r="31">
      <c r="A31" t="inlineStr">
        <is>
          <t>Documentation</t>
        </is>
      </c>
      <c r="B31" s="3" t="n">
        <v>46065.56944444445</v>
      </c>
      <c r="C31" t="inlineStr">
        <is>
          <t>PUBLIC</t>
        </is>
      </c>
      <c r="D31" t="b">
        <v>0</v>
      </c>
      <c r="E31" s="4" t="n">
        <v>3</v>
      </c>
      <c r="F31" s="4" t="n">
        <v>19</v>
      </c>
      <c r="G31" s="4" t="n">
        <v>15</v>
      </c>
      <c r="H31" t="inlineStr">
        <is>
          <t>OK</t>
        </is>
      </c>
      <c r="I31" s="5">
        <f>HYPERLINK("https://github.com/" &amp; "mdk-packs" &amp; "/" &amp; A31, A31)</f>
        <v/>
      </c>
    </row>
    <row r="32">
      <c r="A32" s="2" t="inlineStr">
        <is>
          <t>TinyCBOR</t>
        </is>
      </c>
      <c r="B32" s="6" t="n">
        <v>45999.41414351852</v>
      </c>
      <c r="C32" s="2" t="inlineStr">
        <is>
          <t>PUBLIC</t>
        </is>
      </c>
      <c r="D32" s="2" t="b">
        <v>0</v>
      </c>
      <c r="E32" s="7" t="n">
        <v>1</v>
      </c>
      <c r="F32" s="7" t="n">
        <v>17</v>
      </c>
      <c r="G32" s="7" t="n">
        <v>1</v>
      </c>
      <c r="H32" s="2" t="inlineStr">
        <is>
          <t>OK</t>
        </is>
      </c>
      <c r="I32" s="8">
        <f>HYPERLINK("https://github.com/" &amp; "mdk-packs" &amp; "/" &amp; A32, A32)</f>
        <v/>
      </c>
      <c r="J32" s="2" t="n"/>
    </row>
    <row r="33">
      <c r="A33" t="inlineStr">
        <is>
          <t>Keil_Studio_FAE_Training</t>
        </is>
      </c>
      <c r="B33" s="3" t="n">
        <v>45958.4337037037</v>
      </c>
      <c r="C33" t="inlineStr">
        <is>
          <t>PUBLIC</t>
        </is>
      </c>
      <c r="D33" t="b">
        <v>0</v>
      </c>
      <c r="E33" s="4" t="n">
        <v>1</v>
      </c>
      <c r="F33" s="4" t="n">
        <v>31</v>
      </c>
      <c r="G33" s="4" t="n">
        <v>1</v>
      </c>
      <c r="H33" t="inlineStr">
        <is>
          <t>OK</t>
        </is>
      </c>
      <c r="I33" s="5">
        <f>HYPERLINK("https://github.com/" &amp; "mdk-packs" &amp; "/" &amp; A33, A33)</f>
        <v/>
      </c>
    </row>
    <row r="34">
      <c r="A34" s="2" t="inlineStr">
        <is>
          <t>QCA400x_Host_Driver_SDK</t>
        </is>
      </c>
      <c r="B34" s="6" t="n">
        <v>45908.27715277778</v>
      </c>
      <c r="C34" s="2" t="inlineStr">
        <is>
          <t>PUBLIC</t>
        </is>
      </c>
      <c r="D34" s="2" t="b">
        <v>0</v>
      </c>
      <c r="E34" s="7" t="n">
        <v>3</v>
      </c>
      <c r="F34" s="7" t="n">
        <v>19</v>
      </c>
      <c r="G34" s="7" t="n">
        <v>3</v>
      </c>
      <c r="H34" s="2" t="inlineStr">
        <is>
          <t>OK</t>
        </is>
      </c>
      <c r="I34" s="8">
        <f>HYPERLINK("https://github.com/" &amp; "mdk-packs" &amp; "/" &amp; A34, A34)</f>
        <v/>
      </c>
      <c r="J34" s="2" t="n"/>
    </row>
    <row r="35">
      <c r="A35" t="inlineStr">
        <is>
          <t>iENBL-DK_BSP</t>
        </is>
      </c>
      <c r="B35" s="3" t="n">
        <v>45719.35543981481</v>
      </c>
      <c r="C35" t="inlineStr">
        <is>
          <t>PUBLIC</t>
        </is>
      </c>
      <c r="D35" t="b">
        <v>0</v>
      </c>
      <c r="E35" s="4" t="n">
        <v>0</v>
      </c>
      <c r="F35" s="4" t="n">
        <v>16</v>
      </c>
      <c r="G35" s="4" t="n">
        <v>0</v>
      </c>
      <c r="H35" t="inlineStr">
        <is>
          <t>OK</t>
        </is>
      </c>
      <c r="I35" s="5">
        <f>HYPERLINK("https://github.com/" &amp; "mdk-packs" &amp; "/" &amp; A35, A35)</f>
        <v/>
      </c>
    </row>
    <row r="36">
      <c r="A36" s="2" t="inlineStr">
        <is>
          <t>LPCXpresso55S69_BSP</t>
        </is>
      </c>
      <c r="B36" s="6" t="n">
        <v>45719.34297453704</v>
      </c>
      <c r="C36" s="2" t="inlineStr">
        <is>
          <t>PUBLIC</t>
        </is>
      </c>
      <c r="D36" s="2" t="b">
        <v>0</v>
      </c>
      <c r="E36" s="7" t="n">
        <v>3</v>
      </c>
      <c r="F36" s="7" t="n">
        <v>16</v>
      </c>
      <c r="G36" s="7" t="n">
        <v>3</v>
      </c>
      <c r="H36" s="2" t="inlineStr">
        <is>
          <t>OK</t>
        </is>
      </c>
      <c r="I36" s="8">
        <f>HYPERLINK("https://github.com/" &amp; "mdk-packs" &amp; "/" &amp; A36, A36)</f>
        <v/>
      </c>
      <c r="J36" s="2" t="n"/>
    </row>
    <row r="37">
      <c r="A37" t="inlineStr">
        <is>
          <t>vscode-cmsis-debug-extension-docs</t>
        </is>
      </c>
      <c r="B37" s="3" t="n">
        <v>45709.50780092592</v>
      </c>
      <c r="C37" t="inlineStr">
        <is>
          <t>PUBLIC</t>
        </is>
      </c>
      <c r="D37" t="b">
        <v>0</v>
      </c>
      <c r="E37" s="4" t="n">
        <v>0</v>
      </c>
      <c r="F37" s="4" t="n">
        <v>17</v>
      </c>
      <c r="G37" s="4" t="n">
        <v>0</v>
      </c>
      <c r="H37" t="inlineStr">
        <is>
          <t>OK</t>
        </is>
      </c>
      <c r="I37" s="5">
        <f>HYPERLINK("https://github.com/" &amp; "mdk-packs" &amp; "/" &amp; A37, A37)</f>
        <v/>
      </c>
    </row>
    <row r="38">
      <c r="A38" s="2" t="inlineStr">
        <is>
          <t>IMXRT1050-EVKB_BSP</t>
        </is>
      </c>
      <c r="B38" s="6" t="n">
        <v>45455.45680555556</v>
      </c>
      <c r="C38" s="2" t="inlineStr">
        <is>
          <t>PUBLIC</t>
        </is>
      </c>
      <c r="D38" s="2" t="b">
        <v>0</v>
      </c>
      <c r="E38" s="7" t="n">
        <v>1</v>
      </c>
      <c r="F38" s="7" t="n">
        <v>19</v>
      </c>
      <c r="G38" s="7" t="n">
        <v>1</v>
      </c>
      <c r="H38" s="2" t="inlineStr">
        <is>
          <t>OK</t>
        </is>
      </c>
      <c r="I38" s="8">
        <f>HYPERLINK("https://github.com/" &amp; "mdk-packs" &amp; "/" &amp; A38, A38)</f>
        <v/>
      </c>
      <c r="J3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2026-07-01T12:22:38Z</dcterms:created>
  <dcterms:modified xmlns:dcterms="http://purl.org/dc/terms/" xmlns:xsi="http://www.w3.org/2001/XMLSchema-instance" xsi:type="dcterms:W3CDTF">2026-07-01T12:22:38Z</dcterms:modified>
</cp:coreProperties>
</file>